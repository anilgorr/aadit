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nilgorraladaku/Downloads/"/>
    </mc:Choice>
  </mc:AlternateContent>
  <xr:revisionPtr revIDLastSave="0" documentId="13_ncr:1_{0C6CFBD8-C74B-614E-AF8A-7C232E5CC6F1}" xr6:coauthVersionLast="47" xr6:coauthVersionMax="47" xr10:uidLastSave="{00000000-0000-0000-0000-000000000000}"/>
  <bookViews>
    <workbookView xWindow="4300" yWindow="680" windowWidth="27920" windowHeight="18120" tabRatio="500" activeTab="1" xr2:uid="{00000000-000D-0000-FFFF-FFFF00000000}"/>
  </bookViews>
  <sheets>
    <sheet name="1. START HERE" sheetId="1" r:id="rId1"/>
    <sheet name="2. Task List" sheetId="2" r:id="rId2"/>
    <sheet name="3. Clusters by Seed" sheetId="3" r:id="rId3"/>
    <sheet name="4. Page Checklist" sheetId="4" r:id="rId4"/>
    <sheet name="5. New Pages" sheetId="5" r:id="rId5"/>
    <sheet name="6. Do Not Target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7" i="2" l="1"/>
  <c r="D26" i="2"/>
  <c r="D25" i="2"/>
</calcChain>
</file>

<file path=xl/sharedStrings.xml><?xml version="1.0" encoding="utf-8"?>
<sst xmlns="http://schemas.openxmlformats.org/spreadsheetml/2006/main" count="810" uniqueCount="379">
  <si>
    <t>Aadit Technologies — Step-by-Step SEO / AEO / GEO Plan</t>
  </si>
  <si>
    <t>Work through the phases in order. Do not start Phase 3 before Phase 1 is finished.</t>
  </si>
  <si>
    <t>WHY THE ORDER MATTERS</t>
  </si>
  <si>
    <t>Aadit gets 18,344 impressions and about 70 clicks in 90 days. The demand is already arriving.</t>
  </si>
  <si>
    <t>The site is losing it to broken titles, duplicate URLs and pages competing with each other.</t>
  </si>
  <si>
    <t>Adding new pages first would make the competition worse. Fix, then improve, then build.</t>
  </si>
  <si>
    <t>Phase</t>
  </si>
  <si>
    <t>What you do in it</t>
  </si>
  <si>
    <t>PHASE 1
Stop the bleeding</t>
  </si>
  <si>
    <t>Fix title tags, remove duplicate slash URLs, collapse redirect chains. Developer work. Converts rankings you already have into clicks. Nothing new gets written.</t>
  </si>
  <si>
    <t>PHASE 2
Make pages AI-readable</t>
  </si>
  <si>
    <t>Add FAQPage schema wherever an FAQ already exists. Add answer-first opening sentences. This is the AEO layer.</t>
  </si>
  <si>
    <t>PHASE 3
Stop pages fighting</t>
  </si>
  <si>
    <t>Consolidate the SOC cluster — 4 blog posts and their duplicates chase the same query. Pick one page per intent, redirect the rest.</t>
  </si>
  <si>
    <t>PHASE 4
Expand what exists</t>
  </si>
  <si>
    <t>Grow the 9 glossary pages from ~390 words to 800-1,200. Strengthen the 6 service pages. 57 of your 89 keywords are served by pages that already exist.</t>
  </si>
  <si>
    <t>PHASE 5
Build the gaps</t>
  </si>
  <si>
    <t>Build 8 new pages, highest opportunity first. Only after Phases 1-4.</t>
  </si>
  <si>
    <t>THE THREE NUMBERS TO WATCH</t>
  </si>
  <si>
    <t>Metric</t>
  </si>
  <si>
    <t>Today</t>
  </si>
  <si>
    <t>Clicks from Google</t>
  </si>
  <si>
    <t>~70 per 90 days</t>
  </si>
  <si>
    <t>Copilot avg. cited pages</t>
  </si>
  <si>
    <t>1 (of 82 pages)</t>
  </si>
  <si>
    <t>Queries with pages competing</t>
  </si>
  <si>
    <t>113</t>
  </si>
  <si>
    <t>Tabs 2 to 5: the task list, your keyword clusters by seed, a per-page checklist, and the new pages to build.</t>
  </si>
  <si>
    <t>Do these in order. Tick each one off.</t>
  </si>
  <si>
    <t>Set Status to Done as you go. Column H shows how many are left.</t>
  </si>
  <si>
    <t>#</t>
  </si>
  <si>
    <t>Task</t>
  </si>
  <si>
    <t>Exactly what to do</t>
  </si>
  <si>
    <t>Where</t>
  </si>
  <si>
    <t>Status</t>
  </si>
  <si>
    <t>P1</t>
  </si>
  <si>
    <t>Fix the title tag template</t>
  </si>
  <si>
    <t>Titles are being cut mid-phrase with a stray ellipsis. "vapt full form" ranks position 1 with 741 impressions and ZERO clicks because the title reads "VAPT Full Form &amp; Comprehensive VAPT... | Aadit Technologies". Remove the hard character cut from the title builder.</t>
  </si>
  <si>
    <t>Next.js metadata / buildTitle()</t>
  </si>
  <si>
    <t>Not started</t>
  </si>
  <si>
    <t>Fix the meta description template</t>
  </si>
  <si>
    <t>Same truncation bug. Descriptions end in "…" mid-sentence. Rewrite so descriptions are written to length, not cut to length.</t>
  </si>
  <si>
    <t>Next.js metadata / buildDescription()</t>
  </si>
  <si>
    <t>Kill the 15 duplicate slash URLs</t>
  </si>
  <si>
    <t>15 pages are indexed at both /path and /path/. Google splits the signal. 1,954 impressions sit on the wrong version. Pick no-trailing-slash (matches your sitemap), 301 the slash form, make canonical tags agree.</t>
  </si>
  <si>
    <t>Next.js config + canonical tags</t>
  </si>
  <si>
    <t>Collapse the double redirects</t>
  </si>
  <si>
    <t>Legacy URLs go through two 308 hops before landing. Example: /blog/services-vapt-understanding-vapt/ to /blog/services-vapt-understanding-vapt to the real page. Map each legacy URL straight to its final destination.</t>
  </si>
  <si>
    <t>redirects config</t>
  </si>
  <si>
    <t>Get the full pre-migration URL list</t>
  </si>
  <si>
    <t>You have 4 confirmed legacy URLs still earning traffic and citations. There are more. Ask the developer for every URL that existed before the migration so one complete redirect map can be built.</t>
  </si>
  <si>
    <t>Ask developer</t>
  </si>
  <si>
    <t>P2</t>
  </si>
  <si>
    <t>Add FAQPage schema to the VAPT page</t>
  </si>
  <si>
    <t>That page has an H2 "Frequently Asked Questions (FAQ) about VAPT" and zero FAQPage markup. It carries 1.1K of your 1.3K Copilot citations. Mark up the existing Q&amp;As.</t>
  </si>
  <si>
    <t>/blog/vapt-full-form-comprehensive...</t>
  </si>
  <si>
    <t>Add FAQPage schema everywhere else</t>
  </si>
  <si>
    <t>Any page with an FAQ section gets FAQPage, Question and acceptedAnswer markup. This is the single highest-value AEO change available.</t>
  </si>
  <si>
    <t>All pages with FAQ sections</t>
  </si>
  <si>
    <t>Add answer-first opening sentences</t>
  </si>
  <si>
    <t>Every service and glossary page opens with one sentence that directly answers the page title. AI engines quote that sentence. Put it above the fold, before any marketing copy.</t>
  </si>
  <si>
    <t>15 service + glossary pages</t>
  </si>
  <si>
    <t>P3</t>
  </si>
  <si>
    <t>Consolidate the SOC cluster</t>
  </si>
  <si>
    <t>4 blog posts plus slash duplicates chase the same query. "soc service providers in india" = 650 impressions across 5 URLs, best position 41. Keep /cybersecurity/managed-soc as the commercial page and ONE blog post as the informational page. 301 the other two into them.</t>
  </si>
  <si>
    <t>4 SOC blog posts</t>
  </si>
  <si>
    <t>Check the other cannibalisation cases</t>
  </si>
  <si>
    <t>113 queries have more than one Aadit page competing. Work down the Cannibalisation list from the previous workbook. Anything with 3+ URLs on one query needs consolidating.</t>
  </si>
  <si>
    <t>Site-wide</t>
  </si>
  <si>
    <t>P4</t>
  </si>
  <si>
    <t>Expand /glossary/vapt</t>
  </si>
  <si>
    <t>Currently 393 words. It has perfect DefinedTerm schema and earns zero citations while "vapt full form" pulls 938. Take it to 800-1,200 words: answer-first definition, how it works, when you need it, VA vs PT comparison table, FAQ block.</t>
  </si>
  <si>
    <t>/glossary/vapt</t>
  </si>
  <si>
    <t>Expand the other 8 glossary pages</t>
  </si>
  <si>
    <t>Same treatment for soc-2, iso-27001, siem, soc, gdpr, hipaa, pci-dss, vapt. These are definitional pages and definitional queries are what Aadit already wins.</t>
  </si>
  <si>
    <t>/glossary/*</t>
  </si>
  <si>
    <t>Strengthen the 6 service pages</t>
  </si>
  <si>
    <t>Service pages are almost invisible in Search Console — the blog carries everything. Add the mapped keywords, an FAQ block, and internal links from the matching blog posts with descriptive anchor text.</t>
  </si>
  <si>
    <t>/cybersecurity/*, /compliance/*, /it-managed-services/*</t>
  </si>
  <si>
    <t>Link blog posts to service pages</t>
  </si>
  <si>
    <t>Every blog post links to its matching service page using the service name as anchor text. This is how blog visibility transfers to the pages that sell.</t>
  </si>
  <si>
    <t>32 blog posts</t>
  </si>
  <si>
    <t>P5</t>
  </si>
  <si>
    <t>Build /resources/vapt-report-sample</t>
  </si>
  <si>
    <t>Highest-opportunity gap: 1,140 searches at KD 12 and no page targets it. Buyers want to see the deliverable before they buy, so it doubles as a sales asset.</t>
  </si>
  <si>
    <t>New page</t>
  </si>
  <si>
    <t>Build /compliance/iso-27001/india</t>
  </si>
  <si>
    <t>Easiest wins on the whole list: "iso 27001 certification in bangalore" at KD 12, "in india" at KD 4. Commercial intent, $2+ CPC, and Aadit is in Bangalore.</t>
  </si>
  <si>
    <t>Build /compliance/iso-27001/cost</t>
  </si>
  <si>
    <t>1,270 searches for ISO 27001 cost and nobody publishes ranges. A transparent cost page wins the query and pre-qualifies enquiries.</t>
  </si>
  <si>
    <t>Build the remaining 5 new pages</t>
  </si>
  <si>
    <t>vapt-career-guide, vapt/certificate, glossary/managed-it-services, soc-2-checklist, and the UAE page if Aadit actually serves UAE. See tab 5.</t>
  </si>
  <si>
    <t>New pages</t>
  </si>
  <si>
    <t>--</t>
  </si>
  <si>
    <t>Re-measure</t>
  </si>
  <si>
    <t>Re-check Bing AI Performance and Search Console 30 days after Phase 2 ships. Compare against the baseline: 1.3K citations / 1 avg cited page / 70 clicks.</t>
  </si>
  <si>
    <t>Bing WMT + GSC</t>
  </si>
  <si>
    <t>Tasks remaining:</t>
  </si>
  <si>
    <t>Tasks done:</t>
  </si>
  <si>
    <t>Progress:</t>
  </si>
  <si>
    <t>Your 89 keywords, grouped by seed keyword</t>
  </si>
  <si>
    <t>10 seed keywords. Each block is one cluster. Work one cluster at a time — that is how topical authority is built.</t>
  </si>
  <si>
    <t>Keyword</t>
  </si>
  <si>
    <t>Volume</t>
  </si>
  <si>
    <t>KD</t>
  </si>
  <si>
    <t>CPC</t>
  </si>
  <si>
    <t>Intent</t>
  </si>
  <si>
    <t>Target page</t>
  </si>
  <si>
    <t>Action</t>
  </si>
  <si>
    <t>Ranking now</t>
  </si>
  <si>
    <t>Pos</t>
  </si>
  <si>
    <t>SEED: iso 27001 certification</t>
  </si>
  <si>
    <t>9 keywords</t>
  </si>
  <si>
    <t>8,430 total vol</t>
  </si>
  <si>
    <t>avg KD 31</t>
  </si>
  <si>
    <t>iso 27001 certification</t>
  </si>
  <si>
    <t>Commercial</t>
  </si>
  <si>
    <t>/compliance/iso-27001</t>
  </si>
  <si>
    <t>Expand existing</t>
  </si>
  <si>
    <t>not ranking</t>
  </si>
  <si>
    <t>iso 27001 certification cost</t>
  </si>
  <si>
    <t>/compliance/iso-27001/cost  (new)</t>
  </si>
  <si>
    <t>NEW PAGE</t>
  </si>
  <si>
    <t>iso 27001 certification in bangalore</t>
  </si>
  <si>
    <t>/compliance/iso-27001/india  (new)</t>
  </si>
  <si>
    <t>iso 27001 certification cost in india</t>
  </si>
  <si>
    <t>iso iec 27001 certification</t>
  </si>
  <si>
    <t>/glossary/iso-27001</t>
  </si>
  <si>
    <t>iso 27001 certification requirements</t>
  </si>
  <si>
    <t>iso 27001 certification in india</t>
  </si>
  <si>
    <t>iso 27001 certification service</t>
  </si>
  <si>
    <t>Navigational</t>
  </si>
  <si>
    <t>what is iso 27001 certification</t>
  </si>
  <si>
    <t>89</t>
  </si>
  <si>
    <t>SEED: vapt</t>
  </si>
  <si>
    <t>23 keywords</t>
  </si>
  <si>
    <t>6,420 total vol</t>
  </si>
  <si>
    <t>avg KD 20</t>
  </si>
  <si>
    <t>vapt report</t>
  </si>
  <si>
    <t>/resources/vapt-report-sample  (new)</t>
  </si>
  <si>
    <t>what is vapt</t>
  </si>
  <si>
    <t>/blog/services-vapt-understanding-vapt/</t>
  </si>
  <si>
    <t>30</t>
  </si>
  <si>
    <t>vapt in cyber security</t>
  </si>
  <si>
    <t>/blog/vapt-full-form-comprehensive-vapt-testing-services-in-india-aadit-technologies</t>
  </si>
  <si>
    <t>72</t>
  </si>
  <si>
    <t>vapt tools</t>
  </si>
  <si>
    <t>/blog/best-vapt-tools-for-security-testing-aadit-technologies</t>
  </si>
  <si>
    <t>Existing</t>
  </si>
  <si>
    <t>/blog/best-vapt-tools-for-security-testing-aadit-technologies/</t>
  </si>
  <si>
    <t>60</t>
  </si>
  <si>
    <t>vapt certification</t>
  </si>
  <si>
    <t>/cybersecurity/vapt/certificate  (new)</t>
  </si>
  <si>
    <t>vapt services</t>
  </si>
  <si>
    <t>/cybersecurity/vapt</t>
  </si>
  <si>
    <t>66</t>
  </si>
  <si>
    <t>vapt audit</t>
  </si>
  <si>
    <t>vapt course</t>
  </si>
  <si>
    <t>/resources/vapt-career-guide  (new)</t>
  </si>
  <si>
    <t>vapt interview questions</t>
  </si>
  <si>
    <t>vapt jobs for freshers</t>
  </si>
  <si>
    <t>vapt report sample</t>
  </si>
  <si>
    <t>vapt report template</t>
  </si>
  <si>
    <t>Commercial/Navigational</t>
  </si>
  <si>
    <t>what is vapt in cyber security</t>
  </si>
  <si>
    <t>32</t>
  </si>
  <si>
    <t>what is vapt testing</t>
  </si>
  <si>
    <t>/blog/services-vapt-vapt-report</t>
  </si>
  <si>
    <t>77</t>
  </si>
  <si>
    <t>vapt certificate</t>
  </si>
  <si>
    <t>vapt internship</t>
  </si>
  <si>
    <t>vapt companies</t>
  </si>
  <si>
    <t>vapt testing tools</t>
  </si>
  <si>
    <t>74</t>
  </si>
  <si>
    <t>network vapt</t>
  </si>
  <si>
    <t>vapt analyst</t>
  </si>
  <si>
    <t>vapt companies in india</t>
  </si>
  <si>
    <t>-</t>
  </si>
  <si>
    <t>vapt jobs in hyderabad</t>
  </si>
  <si>
    <t>vapt testing services</t>
  </si>
  <si>
    <t>96</t>
  </si>
  <si>
    <t>SEED: managed it services</t>
  </si>
  <si>
    <t>19 keywords</t>
  </si>
  <si>
    <t>4,720 total vol</t>
  </si>
  <si>
    <t>avg KD 27</t>
  </si>
  <si>
    <t>managed it services</t>
  </si>
  <si>
    <t>/it-managed-services/managed-it-services</t>
  </si>
  <si>
    <t>managed it support services</t>
  </si>
  <si>
    <t>/it-managed-services/helpdesk-support</t>
  </si>
  <si>
    <t>managed services in it</t>
  </si>
  <si>
    <t>managed services it</t>
  </si>
  <si>
    <t>managed it services manchester</t>
  </si>
  <si>
    <t>—</t>
  </si>
  <si>
    <t>Do not target</t>
  </si>
  <si>
    <t>what is managed it services</t>
  </si>
  <si>
    <t>/glossary/managed-it-services  (new)</t>
  </si>
  <si>
    <t>it support and managed services</t>
  </si>
  <si>
    <t>managed it services dubai</t>
  </si>
  <si>
    <t>/it-managed-services/managed-it-services/uae  (new — only if Aadit serves UAE)</t>
  </si>
  <si>
    <t>managed it services houston</t>
  </si>
  <si>
    <t>it managed services companies</t>
  </si>
  <si>
    <t>it managed services new jersey</t>
  </si>
  <si>
    <t>managed it network services</t>
  </si>
  <si>
    <t>/it-managed-services/cloud-infrastructure</t>
  </si>
  <si>
    <t>managed it security services providers</t>
  </si>
  <si>
    <t>/cybersecurity/managed-soc</t>
  </si>
  <si>
    <t>managed it services dallas</t>
  </si>
  <si>
    <t>managed it services dallas tx</t>
  </si>
  <si>
    <t>managed it services in dubai</t>
  </si>
  <si>
    <t>managed it services in los angeles</t>
  </si>
  <si>
    <t>managed it services los angeles ca</t>
  </si>
  <si>
    <t>managed it services nj</t>
  </si>
  <si>
    <t>SEED: cyber security services</t>
  </si>
  <si>
    <t>3,550 total vol</t>
  </si>
  <si>
    <t>avg KD 32</t>
  </si>
  <si>
    <t>cyber security services</t>
  </si>
  <si>
    <t>/cybersecurity</t>
  </si>
  <si>
    <t>cyber security audit services</t>
  </si>
  <si>
    <t>/compliance</t>
  </si>
  <si>
    <t>cyber security consulting services</t>
  </si>
  <si>
    <t>/cybersecurity/consulting</t>
  </si>
  <si>
    <t>cyber security services company</t>
  </si>
  <si>
    <t>managed cyber security services</t>
  </si>
  <si>
    <t>cyber security services in india</t>
  </si>
  <si>
    <t>/cybersecurity  (add India section)</t>
  </si>
  <si>
    <t>cyber security services near me</t>
  </si>
  <si>
    <t>Transactional</t>
  </si>
  <si>
    <t>/contact  (needs Google Business Profile)</t>
  </si>
  <si>
    <t>cyber security testing services</t>
  </si>
  <si>
    <t>cyber security management services</t>
  </si>
  <si>
    <t>SEED: soc 2 compliance</t>
  </si>
  <si>
    <t>6 keywords</t>
  </si>
  <si>
    <t>2,840 total vol</t>
  </si>
  <si>
    <t>avg KD 47</t>
  </si>
  <si>
    <t>soc 2 compliance</t>
  </si>
  <si>
    <t>/compliance/soc2</t>
  </si>
  <si>
    <t>/blog/soc-2-compliance-services-india</t>
  </si>
  <si>
    <t>82</t>
  </si>
  <si>
    <t>what is soc 2 compliance</t>
  </si>
  <si>
    <t>/glossary/soc-2</t>
  </si>
  <si>
    <t>soc 2 compliance meaning</t>
  </si>
  <si>
    <t>soc 2 compliance checklist</t>
  </si>
  <si>
    <t>/resources/soc-2-checklist  (new)</t>
  </si>
  <si>
    <t>soc 2 type 2 compliance</t>
  </si>
  <si>
    <t>soc type 2 compliance</t>
  </si>
  <si>
    <t>71</t>
  </si>
  <si>
    <t>SEED: cloud migration services</t>
  </si>
  <si>
    <t>4 keywords</t>
  </si>
  <si>
    <t>1,050 total vol</t>
  </si>
  <si>
    <t>avg KD 28</t>
  </si>
  <si>
    <t>cloud migration services</t>
  </si>
  <si>
    <t>/it-managed-services/cloud-migration</t>
  </si>
  <si>
    <t>aws cloud migration services</t>
  </si>
  <si>
    <t>/it-managed-services/cloud-migration  (add AWS/Azure sections)</t>
  </si>
  <si>
    <t>azure cloud migration services</t>
  </si>
  <si>
    <t>cloud migration consulting services</t>
  </si>
  <si>
    <t>SEED: penetration testing services</t>
  </si>
  <si>
    <t>2 keywords</t>
  </si>
  <si>
    <t>760 total vol</t>
  </si>
  <si>
    <t>avg KD 26</t>
  </si>
  <si>
    <t>vulnerability assessment and penetration testing services</t>
  </si>
  <si>
    <t>penetration testing services india</t>
  </si>
  <si>
    <t>SEED: cyber security company</t>
  </si>
  <si>
    <t>710 total vol</t>
  </si>
  <si>
    <t>avg KD 21</t>
  </si>
  <si>
    <t>cyber security company in kerala</t>
  </si>
  <si>
    <t>cyber security company in surat</t>
  </si>
  <si>
    <t>cyber security solutions company</t>
  </si>
  <si>
    <t>cyber security company in kolkata</t>
  </si>
  <si>
    <t>SEED: soc as a service</t>
  </si>
  <si>
    <t>8 keywords</t>
  </si>
  <si>
    <t>490 total vol</t>
  </si>
  <si>
    <t>avg KD 24</t>
  </si>
  <si>
    <t>soc as a service</t>
  </si>
  <si>
    <t>/cybersecurity/soc-as-a-service</t>
  </si>
  <si>
    <t>soc as a service companies</t>
  </si>
  <si>
    <t>/blog/top-soc-service-providers-in-india-secure-your-business/</t>
  </si>
  <si>
    <t>84</t>
  </si>
  <si>
    <t>soc as a service mssp</t>
  </si>
  <si>
    <t>soc as a service providers</t>
  </si>
  <si>
    <t>76</t>
  </si>
  <si>
    <t>soc as a service gartner</t>
  </si>
  <si>
    <t>soc as a service meaning</t>
  </si>
  <si>
    <t>soc as a service pricing</t>
  </si>
  <si>
    <t>what is soc as a service</t>
  </si>
  <si>
    <t>SEED: managed soc</t>
  </si>
  <si>
    <t>5 keywords</t>
  </si>
  <si>
    <t>260 total vol</t>
  </si>
  <si>
    <t>managed soc services</t>
  </si>
  <si>
    <t>/blog/managed-soc-services-managed-security-services-with-soc/</t>
  </si>
  <si>
    <t>managed soc</t>
  </si>
  <si>
    <t>73</t>
  </si>
  <si>
    <t>managed soc pricing</t>
  </si>
  <si>
    <t>45</t>
  </si>
  <si>
    <t>managed soc providers</t>
  </si>
  <si>
    <t>64</t>
  </si>
  <si>
    <t>soc managed service providers</t>
  </si>
  <si>
    <t>53</t>
  </si>
  <si>
    <t>What to do on each page</t>
  </si>
  <si>
    <t>One row per page. These are the pages that already exist and need work.</t>
  </si>
  <si>
    <t>Page</t>
  </si>
  <si>
    <t>Keywords to target on it</t>
  </si>
  <si>
    <t>Total vol</t>
  </si>
  <si>
    <t>What to add</t>
  </si>
  <si>
    <t>iso 27001 certification (5,400) · iso 27001 certification requirements (260) · iso 27001 certification service (210)</t>
  </si>
  <si>
    <t>Answer-first opening · FAQ block with FAQPage schema · Service schema · internal links from matching blog posts</t>
  </si>
  <si>
    <t>managed it services (1,900) · managed services in it (320) · managed services it (320) · it managed services companies (110)</t>
  </si>
  <si>
    <t>cyber security services (1,600) · cyber security services company (320) · cyber security solutions company (140) · cyber security management services (70)</t>
  </si>
  <si>
    <t>soc 2 compliance (1,900) · soc 2 type 2 compliance (110) · soc type 2 compliance (110)</t>
  </si>
  <si>
    <t>vulnerability assessment and penetration testing services (590) · vapt services (480) · vapt audit (260) · penetration testing services india (170) · vapt companies (140) · cyber security testing services (110) · network vapt (110) · vapt companies in india (90) · vapt testing services (90)</t>
  </si>
  <si>
    <t>what is vapt (720) · vapt in cyber security (590) · what is vapt in cyber security (210) · what is vapt testing (210)</t>
  </si>
  <si>
    <t>Answer-first definition in sentence 1 · expand to 800-1,200 words · comparison table vs the adjacent term · FAQ block with FAQPage schema</t>
  </si>
  <si>
    <t>cloud migration services (720) · cloud migration consulting services (110)</t>
  </si>
  <si>
    <t>vapt tools (590) · vapt testing tools (140)</t>
  </si>
  <si>
    <t>Fix title and description · add FAQ block with FAQPage schema · link to the matching service page</t>
  </si>
  <si>
    <t>iso iec 27001 certification (390) · what is iso 27001 certification (210)</t>
  </si>
  <si>
    <t>managed cyber security services (210) · managed soc services (140) · managed it security services providers (110) · managed soc (50) · managed soc pricing (30) · managed soc providers (20) · soc managed service providers (20)</t>
  </si>
  <si>
    <t>what is soc 2 compliance (320) · soc 2 compliance meaning (260)</t>
  </si>
  <si>
    <t>soc as a service (210) · soc as a service companies (140) · soc as a service mssp (30) · soc as a service providers (30) · soc as a service gartner (20) · soc as a service meaning (20) · soc as a service pricing (20) · what is soc as a service (20)</t>
  </si>
  <si>
    <t>cyber security audit services (480)</t>
  </si>
  <si>
    <t>cyber security consulting services (480)</t>
  </si>
  <si>
    <t>managed it support services (320) · it support and managed services (140)</t>
  </si>
  <si>
    <t>aws cloud migration services (110) · azure cloud migration services (110)</t>
  </si>
  <si>
    <t>cyber security services in india (170)</t>
  </si>
  <si>
    <t>cyber security services near me (110)</t>
  </si>
  <si>
    <t>Needs a Google Business Profile before "near me" queries can work</t>
  </si>
  <si>
    <t>managed it network services (110)</t>
  </si>
  <si>
    <t>8 new pages — build these last, in this order</t>
  </si>
  <si>
    <t>Order</t>
  </si>
  <si>
    <t>URL to create</t>
  </si>
  <si>
    <t>H1 / page title</t>
  </si>
  <si>
    <t>Keywords it serves</t>
  </si>
  <si>
    <t>Vol</t>
  </si>
  <si>
    <t>Why</t>
  </si>
  <si>
    <t>/resources/vapt-report-sample</t>
  </si>
  <si>
    <t>What a VAPT Report Contains (With a Sample)</t>
  </si>
  <si>
    <t>vapt report (720) · vapt report sample (210) · vapt report template (210)</t>
  </si>
  <si>
    <t>Biggest gap on the site. 1,140 searches at KD 12 and no page targets it. Also a sales asset — buyers want to see the deliverable before they buy.</t>
  </si>
  <si>
    <t>/compliance/iso-27001/india</t>
  </si>
  <si>
    <t>ISO 27001 Certification in India and Bangalore</t>
  </si>
  <si>
    <t>iso 27001 certification in bangalore (480) · iso 27001 certification in india (210)</t>
  </si>
  <si>
    <t>Easiest keywords in the entire set — KD 12 and KD 4, commercial intent, $2+ CPC, and Aadit is physically in Bangalore.</t>
  </si>
  <si>
    <t>/compliance/iso-27001/cost</t>
  </si>
  <si>
    <t>ISO 27001 Certification Cost in India</t>
  </si>
  <si>
    <t>iso 27001 certification cost (880) · cost in india (390)</t>
  </si>
  <si>
    <t>Cost is the second question every buyer asks and nobody answers it publicly. Wins the query and pre-qualifies enquiries.</t>
  </si>
  <si>
    <t>/cybersecurity/vapt/certificate</t>
  </si>
  <si>
    <t>VAPT Certificate: What You Get and What It Proves</t>
  </si>
  <si>
    <t>vapt certification (480) · vapt certificate (170)</t>
  </si>
  <si>
    <t>Splits "certify my company" from "certify me personally", then routes the commercial half to the VAPT service page.</t>
  </si>
  <si>
    <t>/resources/vapt-career-guide</t>
  </si>
  <si>
    <t>VAPT as a Career: Roles, Skills and Interview Questions</t>
  </si>
  <si>
    <t>vapt course (210) · vapt interview questions (210) · vapt jobs for freshers (210) · vapt internship (170) · vapt analyst (110)</t>
  </si>
  <si>
    <t>Not buyers — but 1,000 searches at low KD in the cluster Aadit already wins AI citations for. Builds authority, attracts links, feeds /careers. Keep it separate from commercial pages.</t>
  </si>
  <si>
    <t>/glossary/managed-it-services</t>
  </si>
  <si>
    <t>What Are Managed IT Services?</t>
  </si>
  <si>
    <t>what is managed it services (170)</t>
  </si>
  <si>
    <t>The glossary covers security and compliance but has nothing for the managed IT line. Fills the gap and matches the definitional pattern Copilot cites.</t>
  </si>
  <si>
    <t>/resources/soc-2-checklist</t>
  </si>
  <si>
    <t>SOC 2 Readiness Checklist</t>
  </si>
  <si>
    <t>soc 2 compliance checklist (140)</t>
  </si>
  <si>
    <t>The only SOC 2 keyword under KD 40 — the rest of that cluster averages 47 and is unwinnable at Authority Score 8. Also the most linkable asset in the compliance line.</t>
  </si>
  <si>
    <t>/it-managed-services/managed-it-services/uae</t>
  </si>
  <si>
    <t>Managed IT Services in Dubai and the UAE</t>
  </si>
  <si>
    <t>managed it services dubai (140) · in dubai (110)</t>
  </si>
  <si>
    <t>CONDITIONAL — only if Aadit genuinely serves UAE clients. KD 16-17 makes it winnable. Do not build speculatively.</t>
  </si>
  <si>
    <t>11 keywords deliberately left out — and why</t>
  </si>
  <si>
    <t>These have real search volume. They are still the wrong keywords for Aadit. Here is the reasoning so you can defend it to the client.</t>
  </si>
  <si>
    <t>Why not</t>
  </si>
  <si>
    <t>US/UK generic with high difficulty and no geographic fit.</t>
  </si>
  <si>
    <t>A searcher wanting a Kerala supplier. Aadit does not operate there. Low KD does not make it relevant.</t>
  </si>
  <si>
    <t>UK city term. Needs a Manchester presence and local citations.</t>
  </si>
  <si>
    <t>US city term. Same reason.</t>
  </si>
  <si>
    <t>Surat supplier intent. Aadit does not operate there.</t>
  </si>
  <si>
    <t>High difficulty, vague intent, no differentiator.</t>
  </si>
  <si>
    <t>Kolkata supplier intent. KD 9 is tempting and still wrong.</t>
  </si>
  <si>
    <t>US city term.</t>
  </si>
  <si>
    <t>The exception: Dubai.</t>
  </si>
  <si>
    <t>"managed it services dubai" (140, KD 17) is on the New Pages tab marked CONDITIONAL, not skipped. It is the one international location term that fits a company positioning globally from India — but only build it if Aadit actually serves UAE clients.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</si>
</sst>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5" x14ac:knownFonts="1">
    <font>
      <sz val="11"/>
      <color theme="1"/>
      <name val="Calibri"/>
      <family val="2"/>
      <charset val="1"/>
    </font>
    <font>
      <b/>
      <sz val="16"/>
      <color rgb="FF1B3A6B"/>
      <name val="Arial"/>
      <family val="2"/>
    </font>
    <font>
      <i/>
      <sz val="10"/>
      <color rgb="FF4A5568"/>
      <name val="Arial"/>
      <family val="2"/>
    </font>
    <font>
      <b/>
      <sz val="11"/>
      <color rgb="FFE8523A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i/>
      <sz val="9"/>
      <color rgb="FF4A5568"/>
      <name val="Arial"/>
      <family val="2"/>
    </font>
    <font>
      <b/>
      <sz val="14"/>
      <color rgb="FF1B3A6B"/>
      <name val="Arial"/>
      <family val="2"/>
    </font>
    <font>
      <b/>
      <sz val="12"/>
      <color rgb="FFE8523A"/>
      <name val="Arial"/>
      <family val="2"/>
    </font>
    <font>
      <b/>
      <sz val="12"/>
      <color rgb="FF1A6B3A"/>
      <name val="Arial"/>
      <family val="2"/>
    </font>
    <font>
      <b/>
      <sz val="12"/>
      <color rgb="FF1B3A6B"/>
      <name val="Arial"/>
      <family val="2"/>
    </font>
    <font>
      <b/>
      <sz val="11"/>
      <color rgb="FFFFFFFF"/>
      <name val="Arial"/>
      <family val="2"/>
    </font>
    <font>
      <sz val="10"/>
      <color rgb="FF8A8A8A"/>
      <name val="Arial"/>
      <family val="2"/>
    </font>
    <font>
      <sz val="9"/>
      <color rgb="FF4A556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DECEA"/>
        <bgColor rgb="FFFEF8E7"/>
      </patternFill>
    </fill>
    <fill>
      <patternFill patternType="solid">
        <fgColor rgb="FFFFFFCC"/>
        <bgColor rgb="FFFEF8E7"/>
      </patternFill>
    </fill>
    <fill>
      <patternFill patternType="solid">
        <fgColor rgb="FFFEF8E7"/>
        <bgColor rgb="FFF4F6F9"/>
      </patternFill>
    </fill>
    <fill>
      <patternFill patternType="solid">
        <fgColor rgb="FFE8F3F3"/>
        <bgColor rgb="FFEAF4EE"/>
      </patternFill>
    </fill>
    <fill>
      <patternFill patternType="solid">
        <fgColor rgb="FFEAF4EE"/>
        <bgColor rgb="FFE8F3F3"/>
      </patternFill>
    </fill>
    <fill>
      <patternFill patternType="solid">
        <fgColor rgb="FFF4F6F9"/>
        <bgColor rgb="FFEAF4EE"/>
      </patternFill>
    </fill>
  </fills>
  <borders count="2">
    <border>
      <left/>
      <right/>
      <top/>
      <bottom/>
      <diagonal/>
    </border>
    <border>
      <left style="thin">
        <color rgb="FFD1D9E6"/>
      </left>
      <right style="thin">
        <color rgb="FFD1D9E6"/>
      </right>
      <top style="thin">
        <color rgb="FFD1D9E6"/>
      </top>
      <bottom style="thin">
        <color rgb="FFD1D9E6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7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6" fillId="0" borderId="1" xfId="0" applyFont="1" applyBorder="1"/>
    <xf numFmtId="0" fontId="4" fillId="0" borderId="1" xfId="0" applyFont="1" applyBorder="1"/>
    <xf numFmtId="0" fontId="8" fillId="0" borderId="0" xfId="0" applyFont="1"/>
    <xf numFmtId="0" fontId="4" fillId="0" borderId="1" xfId="0" applyFont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4" fillId="7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horizontal="center" vertical="top"/>
    </xf>
    <xf numFmtId="0" fontId="6" fillId="0" borderId="0" xfId="0" applyFont="1"/>
    <xf numFmtId="0" fontId="9" fillId="0" borderId="0" xfId="0" applyFont="1"/>
    <xf numFmtId="0" fontId="10" fillId="0" borderId="0" xfId="0" applyFont="1"/>
    <xf numFmtId="9" fontId="11" fillId="0" borderId="0" xfId="0" applyNumberFormat="1" applyFont="1"/>
    <xf numFmtId="0" fontId="12" fillId="2" borderId="1" xfId="0" applyFont="1" applyFill="1" applyBorder="1"/>
    <xf numFmtId="0" fontId="5" fillId="2" borderId="1" xfId="0" applyFont="1" applyFill="1" applyBorder="1"/>
    <xf numFmtId="0" fontId="4" fillId="0" borderId="1" xfId="0" applyFont="1" applyBorder="1" applyAlignment="1">
      <alignment horizontal="left" vertical="top"/>
    </xf>
    <xf numFmtId="3" fontId="4" fillId="0" borderId="1" xfId="0" applyNumberFormat="1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0" fontId="4" fillId="5" borderId="1" xfId="0" applyFont="1" applyFill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3" fontId="13" fillId="0" borderId="1" xfId="0" applyNumberFormat="1" applyFont="1" applyBorder="1" applyAlignment="1">
      <alignment horizontal="center" vertical="top"/>
    </xf>
    <xf numFmtId="0" fontId="13" fillId="7" borderId="1" xfId="0" applyFont="1" applyFill="1" applyBorder="1" applyAlignment="1">
      <alignment horizontal="center" vertical="top"/>
    </xf>
    <xf numFmtId="164" fontId="13" fillId="0" borderId="1" xfId="0" applyNumberFormat="1" applyFont="1" applyBorder="1" applyAlignment="1">
      <alignment horizontal="center" vertical="top"/>
    </xf>
    <xf numFmtId="0" fontId="13" fillId="0" borderId="1" xfId="0" applyFont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/>
    </xf>
    <xf numFmtId="0" fontId="13" fillId="0" borderId="1" xfId="0" applyFont="1" applyBorder="1" applyAlignment="1">
      <alignment horizontal="center" vertical="top"/>
    </xf>
    <xf numFmtId="0" fontId="13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left" vertical="top" wrapText="1"/>
    </xf>
    <xf numFmtId="0" fontId="14" fillId="0" borderId="0" xfId="0" applyFont="1" applyAlignment="1">
      <alignment vertical="top" wrapText="1"/>
    </xf>
    <xf numFmtId="0" fontId="4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808000"/>
      <rgbColor rgb="FF800080"/>
      <rgbColor rgb="FF008080"/>
      <rgbColor rgb="FFC0C0C0"/>
      <rgbColor rgb="FF8A8A8A"/>
      <rgbColor rgb="FF9999FF"/>
      <rgbColor rgb="FF993366"/>
      <rgbColor rgb="FFFFFFCC"/>
      <rgbColor rgb="FFE8F3F3"/>
      <rgbColor rgb="FF660066"/>
      <rgbColor rgb="FFFF8080"/>
      <rgbColor rgb="FF0066CC"/>
      <rgbColor rgb="FFD1D9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EE"/>
      <rgbColor rgb="FFF4F6F9"/>
      <rgbColor rgb="FFFEF8E7"/>
      <rgbColor rgb="FF99CCFF"/>
      <rgbColor rgb="FFFF99CC"/>
      <rgbColor rgb="FFCC99FF"/>
      <rgbColor rgb="FFFDECEA"/>
      <rgbColor rgb="FF3366FF"/>
      <rgbColor rgb="FF33CCCC"/>
      <rgbColor rgb="FF99CC00"/>
      <rgbColor rgb="FFFFCC00"/>
      <rgbColor rgb="FFFF9900"/>
      <rgbColor rgb="FFE8523A"/>
      <rgbColor rgb="FF4A5568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zoomScaleNormal="100" workbookViewId="0">
      <selection activeCell="F5" sqref="F5"/>
    </sheetView>
  </sheetViews>
  <sheetFormatPr baseColWidth="10" defaultColWidth="8.6640625" defaultRowHeight="15" x14ac:dyDescent="0.2"/>
  <cols>
    <col min="1" max="1" width="6" customWidth="1"/>
    <col min="2" max="2" width="30" customWidth="1"/>
    <col min="3" max="3" width="88" customWidth="1"/>
  </cols>
  <sheetData>
    <row r="1" spans="1:3" ht="20" x14ac:dyDescent="0.2">
      <c r="B1" s="2" t="s">
        <v>0</v>
      </c>
    </row>
    <row r="2" spans="1:3" x14ac:dyDescent="0.2">
      <c r="B2" s="3" t="s">
        <v>1</v>
      </c>
    </row>
    <row r="4" spans="1:3" x14ac:dyDescent="0.2">
      <c r="B4" s="4" t="s">
        <v>2</v>
      </c>
    </row>
    <row r="5" spans="1:3" x14ac:dyDescent="0.2">
      <c r="B5" s="42" t="s">
        <v>3</v>
      </c>
      <c r="C5" s="42"/>
    </row>
    <row r="6" spans="1:3" x14ac:dyDescent="0.2">
      <c r="B6" s="42" t="s">
        <v>4</v>
      </c>
      <c r="C6" s="42"/>
    </row>
    <row r="7" spans="1:3" x14ac:dyDescent="0.2">
      <c r="B7" s="42" t="s">
        <v>5</v>
      </c>
      <c r="C7" s="42"/>
    </row>
    <row r="9" spans="1:3" x14ac:dyDescent="0.2">
      <c r="A9" s="5"/>
      <c r="B9" s="5" t="s">
        <v>6</v>
      </c>
      <c r="C9" s="5" t="s">
        <v>7</v>
      </c>
    </row>
    <row r="10" spans="1:3" ht="54" customHeight="1" x14ac:dyDescent="0.2">
      <c r="A10" s="6"/>
      <c r="B10" s="7" t="s">
        <v>8</v>
      </c>
      <c r="C10" s="8" t="s">
        <v>9</v>
      </c>
    </row>
    <row r="11" spans="1:3" ht="54" customHeight="1" x14ac:dyDescent="0.2">
      <c r="A11" s="6"/>
      <c r="B11" s="7" t="s">
        <v>10</v>
      </c>
      <c r="C11" s="8" t="s">
        <v>11</v>
      </c>
    </row>
    <row r="12" spans="1:3" ht="54" customHeight="1" x14ac:dyDescent="0.2">
      <c r="A12" s="6"/>
      <c r="B12" s="7" t="s">
        <v>12</v>
      </c>
      <c r="C12" s="8" t="s">
        <v>13</v>
      </c>
    </row>
    <row r="13" spans="1:3" ht="54" customHeight="1" x14ac:dyDescent="0.2">
      <c r="A13" s="6"/>
      <c r="B13" s="7" t="s">
        <v>14</v>
      </c>
      <c r="C13" s="8" t="s">
        <v>15</v>
      </c>
    </row>
    <row r="14" spans="1:3" ht="54" customHeight="1" x14ac:dyDescent="0.2">
      <c r="A14" s="6"/>
      <c r="B14" s="7" t="s">
        <v>16</v>
      </c>
      <c r="C14" s="8" t="s">
        <v>17</v>
      </c>
    </row>
    <row r="17" spans="1:3" x14ac:dyDescent="0.2">
      <c r="B17" s="4" t="s">
        <v>18</v>
      </c>
    </row>
    <row r="18" spans="1:3" x14ac:dyDescent="0.2">
      <c r="A18" s="5"/>
      <c r="B18" s="5" t="s">
        <v>19</v>
      </c>
      <c r="C18" s="5" t="s">
        <v>20</v>
      </c>
    </row>
    <row r="19" spans="1:3" x14ac:dyDescent="0.2">
      <c r="A19" s="9"/>
      <c r="B19" s="10" t="s">
        <v>21</v>
      </c>
      <c r="C19" s="11" t="s">
        <v>22</v>
      </c>
    </row>
    <row r="20" spans="1:3" x14ac:dyDescent="0.2">
      <c r="A20" s="9"/>
      <c r="B20" s="10" t="s">
        <v>23</v>
      </c>
      <c r="C20" s="11" t="s">
        <v>24</v>
      </c>
    </row>
    <row r="21" spans="1:3" x14ac:dyDescent="0.2">
      <c r="A21" s="9"/>
      <c r="B21" s="10" t="s">
        <v>25</v>
      </c>
      <c r="C21" s="11" t="s">
        <v>26</v>
      </c>
    </row>
    <row r="23" spans="1:3" x14ac:dyDescent="0.2">
      <c r="B23" s="43" t="s">
        <v>27</v>
      </c>
      <c r="C23" s="43"/>
    </row>
  </sheetData>
  <mergeCells count="4">
    <mergeCell ref="B5:C5"/>
    <mergeCell ref="B6:C6"/>
    <mergeCell ref="B7:C7"/>
    <mergeCell ref="B23:C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tabSelected="1" zoomScaleNormal="100" workbookViewId="0">
      <pane ySplit="4" topLeftCell="A6" activePane="bottomLeft" state="frozen"/>
      <selection pane="bottomLeft" activeCell="F1" sqref="F1:G1048576"/>
    </sheetView>
  </sheetViews>
  <sheetFormatPr baseColWidth="10" defaultColWidth="8.6640625" defaultRowHeight="15" x14ac:dyDescent="0.2"/>
  <cols>
    <col min="1" max="1" width="5" customWidth="1"/>
    <col min="2" max="2" width="9" customWidth="1"/>
    <col min="3" max="3" width="52" customWidth="1"/>
    <col min="4" max="4" width="72" customWidth="1"/>
    <col min="5" max="5" width="34" customWidth="1"/>
    <col min="6" max="6" width="13" customWidth="1"/>
  </cols>
  <sheetData>
    <row r="1" spans="1:6" ht="18" x14ac:dyDescent="0.2">
      <c r="A1" s="12" t="s">
        <v>28</v>
      </c>
    </row>
    <row r="2" spans="1:6" x14ac:dyDescent="0.2">
      <c r="A2" s="1" t="s">
        <v>29</v>
      </c>
    </row>
    <row r="4" spans="1:6" x14ac:dyDescent="0.2">
      <c r="A4" s="5" t="s">
        <v>30</v>
      </c>
      <c r="B4" s="5" t="s">
        <v>6</v>
      </c>
      <c r="C4" s="5" t="s">
        <v>31</v>
      </c>
      <c r="D4" s="5" t="s">
        <v>32</v>
      </c>
      <c r="E4" s="5" t="s">
        <v>33</v>
      </c>
      <c r="F4" s="5" t="s">
        <v>34</v>
      </c>
    </row>
    <row r="5" spans="1:6" ht="61.5" customHeight="1" x14ac:dyDescent="0.2">
      <c r="A5" s="13">
        <v>1</v>
      </c>
      <c r="B5" s="14" t="s">
        <v>35</v>
      </c>
      <c r="C5" s="15" t="s">
        <v>36</v>
      </c>
      <c r="D5" s="16" t="s">
        <v>37</v>
      </c>
      <c r="E5" s="16" t="s">
        <v>38</v>
      </c>
      <c r="F5" s="17" t="s">
        <v>39</v>
      </c>
    </row>
    <row r="6" spans="1:6" ht="61.5" customHeight="1" x14ac:dyDescent="0.2">
      <c r="A6" s="13">
        <v>2</v>
      </c>
      <c r="B6" s="14" t="s">
        <v>35</v>
      </c>
      <c r="C6" s="15" t="s">
        <v>40</v>
      </c>
      <c r="D6" s="16" t="s">
        <v>41</v>
      </c>
      <c r="E6" s="16" t="s">
        <v>42</v>
      </c>
      <c r="F6" s="17" t="s">
        <v>39</v>
      </c>
    </row>
    <row r="7" spans="1:6" ht="61.5" customHeight="1" x14ac:dyDescent="0.2">
      <c r="A7" s="13">
        <v>3</v>
      </c>
      <c r="B7" s="14" t="s">
        <v>35</v>
      </c>
      <c r="C7" s="15" t="s">
        <v>43</v>
      </c>
      <c r="D7" s="16" t="s">
        <v>44</v>
      </c>
      <c r="E7" s="16" t="s">
        <v>45</v>
      </c>
      <c r="F7" s="17" t="s">
        <v>39</v>
      </c>
    </row>
    <row r="8" spans="1:6" ht="61.5" customHeight="1" x14ac:dyDescent="0.2">
      <c r="A8" s="13">
        <v>4</v>
      </c>
      <c r="B8" s="14" t="s">
        <v>35</v>
      </c>
      <c r="C8" s="15" t="s">
        <v>46</v>
      </c>
      <c r="D8" s="16" t="s">
        <v>47</v>
      </c>
      <c r="E8" s="16" t="s">
        <v>48</v>
      </c>
      <c r="F8" s="17" t="s">
        <v>39</v>
      </c>
    </row>
    <row r="9" spans="1:6" ht="61.5" customHeight="1" x14ac:dyDescent="0.2">
      <c r="A9" s="13">
        <v>5</v>
      </c>
      <c r="B9" s="14" t="s">
        <v>35</v>
      </c>
      <c r="C9" s="15" t="s">
        <v>49</v>
      </c>
      <c r="D9" s="16" t="s">
        <v>50</v>
      </c>
      <c r="E9" s="16" t="s">
        <v>51</v>
      </c>
      <c r="F9" s="17" t="s">
        <v>39</v>
      </c>
    </row>
    <row r="10" spans="1:6" ht="61.5" customHeight="1" x14ac:dyDescent="0.2">
      <c r="A10" s="13">
        <v>6</v>
      </c>
      <c r="B10" s="18" t="s">
        <v>52</v>
      </c>
      <c r="C10" s="15" t="s">
        <v>53</v>
      </c>
      <c r="D10" s="16" t="s">
        <v>54</v>
      </c>
      <c r="E10" s="16" t="s">
        <v>55</v>
      </c>
      <c r="F10" s="17" t="s">
        <v>39</v>
      </c>
    </row>
    <row r="11" spans="1:6" ht="61.5" customHeight="1" x14ac:dyDescent="0.2">
      <c r="A11" s="13">
        <v>7</v>
      </c>
      <c r="B11" s="18" t="s">
        <v>52</v>
      </c>
      <c r="C11" s="15" t="s">
        <v>56</v>
      </c>
      <c r="D11" s="16" t="s">
        <v>57</v>
      </c>
      <c r="E11" s="16" t="s">
        <v>58</v>
      </c>
      <c r="F11" s="17" t="s">
        <v>39</v>
      </c>
    </row>
    <row r="12" spans="1:6" ht="61.5" customHeight="1" x14ac:dyDescent="0.2">
      <c r="A12" s="13">
        <v>8</v>
      </c>
      <c r="B12" s="18" t="s">
        <v>52</v>
      </c>
      <c r="C12" s="15" t="s">
        <v>59</v>
      </c>
      <c r="D12" s="16" t="s">
        <v>60</v>
      </c>
      <c r="E12" s="16" t="s">
        <v>61</v>
      </c>
      <c r="F12" s="17" t="s">
        <v>39</v>
      </c>
    </row>
    <row r="13" spans="1:6" ht="61.5" customHeight="1" x14ac:dyDescent="0.2">
      <c r="A13" s="13">
        <v>9</v>
      </c>
      <c r="B13" s="19" t="s">
        <v>62</v>
      </c>
      <c r="C13" s="15" t="s">
        <v>63</v>
      </c>
      <c r="D13" s="16" t="s">
        <v>64</v>
      </c>
      <c r="E13" s="16" t="s">
        <v>65</v>
      </c>
      <c r="F13" s="17" t="s">
        <v>39</v>
      </c>
    </row>
    <row r="14" spans="1:6" ht="61.5" customHeight="1" x14ac:dyDescent="0.2">
      <c r="A14" s="13">
        <v>10</v>
      </c>
      <c r="B14" s="19" t="s">
        <v>62</v>
      </c>
      <c r="C14" s="15" t="s">
        <v>66</v>
      </c>
      <c r="D14" s="16" t="s">
        <v>67</v>
      </c>
      <c r="E14" s="16" t="s">
        <v>68</v>
      </c>
      <c r="F14" s="17" t="s">
        <v>39</v>
      </c>
    </row>
    <row r="15" spans="1:6" ht="61.5" customHeight="1" x14ac:dyDescent="0.2">
      <c r="A15" s="13">
        <v>11</v>
      </c>
      <c r="B15" s="20" t="s">
        <v>69</v>
      </c>
      <c r="C15" s="15" t="s">
        <v>70</v>
      </c>
      <c r="D15" s="16" t="s">
        <v>71</v>
      </c>
      <c r="E15" s="16" t="s">
        <v>72</v>
      </c>
      <c r="F15" s="17" t="s">
        <v>39</v>
      </c>
    </row>
    <row r="16" spans="1:6" ht="61.5" customHeight="1" x14ac:dyDescent="0.2">
      <c r="A16" s="13">
        <v>12</v>
      </c>
      <c r="B16" s="20" t="s">
        <v>69</v>
      </c>
      <c r="C16" s="15" t="s">
        <v>73</v>
      </c>
      <c r="D16" s="16" t="s">
        <v>74</v>
      </c>
      <c r="E16" s="16" t="s">
        <v>75</v>
      </c>
      <c r="F16" s="17" t="s">
        <v>39</v>
      </c>
    </row>
    <row r="17" spans="1:6" ht="61.5" customHeight="1" x14ac:dyDescent="0.2">
      <c r="A17" s="13">
        <v>13</v>
      </c>
      <c r="B17" s="20" t="s">
        <v>69</v>
      </c>
      <c r="C17" s="15" t="s">
        <v>76</v>
      </c>
      <c r="D17" s="16" t="s">
        <v>77</v>
      </c>
      <c r="E17" s="16" t="s">
        <v>78</v>
      </c>
      <c r="F17" s="17" t="s">
        <v>39</v>
      </c>
    </row>
    <row r="18" spans="1:6" ht="61.5" customHeight="1" x14ac:dyDescent="0.2">
      <c r="A18" s="13">
        <v>14</v>
      </c>
      <c r="B18" s="20" t="s">
        <v>69</v>
      </c>
      <c r="C18" s="15" t="s">
        <v>79</v>
      </c>
      <c r="D18" s="16" t="s">
        <v>80</v>
      </c>
      <c r="E18" s="16" t="s">
        <v>81</v>
      </c>
      <c r="F18" s="17" t="s">
        <v>39</v>
      </c>
    </row>
    <row r="19" spans="1:6" ht="61.5" customHeight="1" x14ac:dyDescent="0.2">
      <c r="A19" s="13">
        <v>15</v>
      </c>
      <c r="B19" s="21" t="s">
        <v>82</v>
      </c>
      <c r="C19" s="15" t="s">
        <v>83</v>
      </c>
      <c r="D19" s="16" t="s">
        <v>84</v>
      </c>
      <c r="E19" s="16" t="s">
        <v>85</v>
      </c>
      <c r="F19" s="17" t="s">
        <v>39</v>
      </c>
    </row>
    <row r="20" spans="1:6" ht="61.5" customHeight="1" x14ac:dyDescent="0.2">
      <c r="A20" s="13">
        <v>16</v>
      </c>
      <c r="B20" s="21" t="s">
        <v>82</v>
      </c>
      <c r="C20" s="15" t="s">
        <v>86</v>
      </c>
      <c r="D20" s="16" t="s">
        <v>87</v>
      </c>
      <c r="E20" s="16" t="s">
        <v>85</v>
      </c>
      <c r="F20" s="17" t="s">
        <v>39</v>
      </c>
    </row>
    <row r="21" spans="1:6" ht="61.5" customHeight="1" x14ac:dyDescent="0.2">
      <c r="A21" s="13">
        <v>17</v>
      </c>
      <c r="B21" s="21" t="s">
        <v>82</v>
      </c>
      <c r="C21" s="15" t="s">
        <v>88</v>
      </c>
      <c r="D21" s="16" t="s">
        <v>89</v>
      </c>
      <c r="E21" s="16" t="s">
        <v>85</v>
      </c>
      <c r="F21" s="17" t="s">
        <v>39</v>
      </c>
    </row>
    <row r="22" spans="1:6" ht="61.5" customHeight="1" x14ac:dyDescent="0.2">
      <c r="A22" s="13">
        <v>18</v>
      </c>
      <c r="B22" s="21" t="s">
        <v>82</v>
      </c>
      <c r="C22" s="15" t="s">
        <v>90</v>
      </c>
      <c r="D22" s="16" t="s">
        <v>91</v>
      </c>
      <c r="E22" s="16" t="s">
        <v>92</v>
      </c>
      <c r="F22" s="17" t="s">
        <v>39</v>
      </c>
    </row>
    <row r="23" spans="1:6" ht="61.5" customHeight="1" x14ac:dyDescent="0.2">
      <c r="A23" s="13">
        <v>19</v>
      </c>
      <c r="B23" s="21" t="s">
        <v>93</v>
      </c>
      <c r="C23" s="15" t="s">
        <v>94</v>
      </c>
      <c r="D23" s="16" t="s">
        <v>95</v>
      </c>
      <c r="E23" s="16" t="s">
        <v>96</v>
      </c>
      <c r="F23" s="17" t="s">
        <v>39</v>
      </c>
    </row>
    <row r="25" spans="1:6" ht="16" x14ac:dyDescent="0.2">
      <c r="C25" s="22" t="s">
        <v>97</v>
      </c>
      <c r="D25" s="23">
        <f>COUNTIF(F5:F23,"Not started")+COUNTIF(F5:F23,"In progress")+COUNTIF(F5:F23,"Blocked")</f>
        <v>19</v>
      </c>
    </row>
    <row r="26" spans="1:6" ht="16" x14ac:dyDescent="0.2">
      <c r="C26" s="22" t="s">
        <v>98</v>
      </c>
      <c r="D26" s="24">
        <f>COUNTIF(F5:F23,"Done")</f>
        <v>0</v>
      </c>
    </row>
    <row r="27" spans="1:6" ht="16" x14ac:dyDescent="0.2">
      <c r="C27" s="22" t="s">
        <v>99</v>
      </c>
      <c r="D27" s="25">
        <f>IFERROR(COUNTIF(F5:F23,"Done")/19,0)</f>
        <v>0</v>
      </c>
    </row>
  </sheetData>
  <dataValidations count="1">
    <dataValidation type="list" allowBlank="1" sqref="F5:F23" xr:uid="{00000000-0002-0000-0100-000000000000}">
      <formula1>"Not started,In progress,Done,Blocked"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2"/>
  <sheetViews>
    <sheetView zoomScaleNormal="100" workbookViewId="0">
      <pane ySplit="4" topLeftCell="A84" activePane="bottomLeft" state="frozen"/>
      <selection pane="bottomLeft"/>
    </sheetView>
  </sheetViews>
  <sheetFormatPr baseColWidth="10" defaultColWidth="8.6640625" defaultRowHeight="15" x14ac:dyDescent="0.2"/>
  <cols>
    <col min="1" max="1" width="44" customWidth="1"/>
    <col min="2" max="2" width="9" customWidth="1"/>
    <col min="3" max="3" width="7" customWidth="1"/>
    <col min="4" max="4" width="8" customWidth="1"/>
    <col min="5" max="5" width="20" customWidth="1"/>
    <col min="6" max="6" width="44" customWidth="1"/>
    <col min="7" max="7" width="16" customWidth="1"/>
    <col min="8" max="8" width="40" customWidth="1"/>
    <col min="9" max="9" width="6" customWidth="1"/>
  </cols>
  <sheetData>
    <row r="1" spans="1:9" ht="18" x14ac:dyDescent="0.2">
      <c r="A1" s="12" t="s">
        <v>100</v>
      </c>
    </row>
    <row r="2" spans="1:9" x14ac:dyDescent="0.2">
      <c r="A2" s="1" t="s">
        <v>101</v>
      </c>
    </row>
    <row r="4" spans="1:9" x14ac:dyDescent="0.2">
      <c r="A4" s="5" t="s">
        <v>102</v>
      </c>
      <c r="B4" s="5" t="s">
        <v>103</v>
      </c>
      <c r="C4" s="5" t="s">
        <v>104</v>
      </c>
      <c r="D4" s="5" t="s">
        <v>105</v>
      </c>
      <c r="E4" s="5" t="s">
        <v>106</v>
      </c>
      <c r="F4" s="5" t="s">
        <v>107</v>
      </c>
      <c r="G4" s="5" t="s">
        <v>108</v>
      </c>
      <c r="H4" s="5" t="s">
        <v>109</v>
      </c>
      <c r="I4" s="5" t="s">
        <v>110</v>
      </c>
    </row>
    <row r="5" spans="1:9" x14ac:dyDescent="0.2">
      <c r="A5" s="26" t="s">
        <v>111</v>
      </c>
      <c r="B5" s="27" t="s">
        <v>112</v>
      </c>
      <c r="C5" s="27"/>
      <c r="D5" s="27" t="s">
        <v>113</v>
      </c>
      <c r="E5" s="27"/>
      <c r="F5" s="27" t="s">
        <v>114</v>
      </c>
      <c r="G5" s="27"/>
      <c r="H5" s="27"/>
      <c r="I5" s="27"/>
    </row>
    <row r="6" spans="1:9" x14ac:dyDescent="0.2">
      <c r="A6" s="28" t="s">
        <v>115</v>
      </c>
      <c r="B6" s="29">
        <v>5400</v>
      </c>
      <c r="C6" s="14">
        <v>58</v>
      </c>
      <c r="D6" s="30">
        <v>0.84</v>
      </c>
      <c r="E6" s="28" t="s">
        <v>116</v>
      </c>
      <c r="F6" s="16" t="s">
        <v>117</v>
      </c>
      <c r="G6" s="28" t="s">
        <v>118</v>
      </c>
      <c r="H6" s="16" t="s">
        <v>119</v>
      </c>
      <c r="I6" s="13"/>
    </row>
    <row r="7" spans="1:9" x14ac:dyDescent="0.2">
      <c r="A7" s="28" t="s">
        <v>120</v>
      </c>
      <c r="B7" s="29">
        <v>880</v>
      </c>
      <c r="C7" s="20">
        <v>27</v>
      </c>
      <c r="D7" s="30">
        <v>0.65</v>
      </c>
      <c r="E7" s="28" t="s">
        <v>116</v>
      </c>
      <c r="F7" s="16" t="s">
        <v>121</v>
      </c>
      <c r="G7" s="31" t="s">
        <v>122</v>
      </c>
      <c r="H7" s="16" t="s">
        <v>119</v>
      </c>
      <c r="I7" s="13"/>
    </row>
    <row r="8" spans="1:9" x14ac:dyDescent="0.2">
      <c r="A8" s="28" t="s">
        <v>123</v>
      </c>
      <c r="B8" s="29">
        <v>480</v>
      </c>
      <c r="C8" s="20">
        <v>12</v>
      </c>
      <c r="D8" s="30">
        <v>2.31</v>
      </c>
      <c r="E8" s="28" t="s">
        <v>116</v>
      </c>
      <c r="F8" s="16" t="s">
        <v>124</v>
      </c>
      <c r="G8" s="31" t="s">
        <v>122</v>
      </c>
      <c r="H8" s="16" t="s">
        <v>119</v>
      </c>
      <c r="I8" s="13"/>
    </row>
    <row r="9" spans="1:9" x14ac:dyDescent="0.2">
      <c r="A9" s="28" t="s">
        <v>125</v>
      </c>
      <c r="B9" s="29">
        <v>390</v>
      </c>
      <c r="C9" s="20">
        <v>16</v>
      </c>
      <c r="D9" s="30">
        <v>0.87</v>
      </c>
      <c r="E9" s="28" t="s">
        <v>116</v>
      </c>
      <c r="F9" s="16" t="s">
        <v>121</v>
      </c>
      <c r="G9" s="31" t="s">
        <v>122</v>
      </c>
      <c r="H9" s="16" t="s">
        <v>119</v>
      </c>
      <c r="I9" s="13"/>
    </row>
    <row r="10" spans="1:9" x14ac:dyDescent="0.2">
      <c r="A10" s="28" t="s">
        <v>126</v>
      </c>
      <c r="B10" s="29">
        <v>390</v>
      </c>
      <c r="C10" s="14">
        <v>54</v>
      </c>
      <c r="D10" s="30">
        <v>1.03</v>
      </c>
      <c r="E10" s="28" t="s">
        <v>116</v>
      </c>
      <c r="F10" s="16" t="s">
        <v>127</v>
      </c>
      <c r="G10" s="28" t="s">
        <v>118</v>
      </c>
      <c r="H10" s="16" t="s">
        <v>119</v>
      </c>
      <c r="I10" s="13"/>
    </row>
    <row r="11" spans="1:9" x14ac:dyDescent="0.2">
      <c r="A11" s="28" t="s">
        <v>128</v>
      </c>
      <c r="B11" s="29">
        <v>260</v>
      </c>
      <c r="C11" s="18">
        <v>32</v>
      </c>
      <c r="D11" s="30">
        <v>0.71</v>
      </c>
      <c r="E11" s="28" t="s">
        <v>116</v>
      </c>
      <c r="F11" s="16" t="s">
        <v>117</v>
      </c>
      <c r="G11" s="28" t="s">
        <v>118</v>
      </c>
      <c r="H11" s="16" t="s">
        <v>119</v>
      </c>
      <c r="I11" s="13"/>
    </row>
    <row r="12" spans="1:9" x14ac:dyDescent="0.2">
      <c r="A12" s="28" t="s">
        <v>129</v>
      </c>
      <c r="B12" s="29">
        <v>210</v>
      </c>
      <c r="C12" s="20">
        <v>4</v>
      </c>
      <c r="D12" s="30">
        <v>2.12</v>
      </c>
      <c r="E12" s="28" t="s">
        <v>116</v>
      </c>
      <c r="F12" s="16" t="s">
        <v>124</v>
      </c>
      <c r="G12" s="31" t="s">
        <v>122</v>
      </c>
      <c r="H12" s="16" t="s">
        <v>119</v>
      </c>
      <c r="I12" s="13"/>
    </row>
    <row r="13" spans="1:9" x14ac:dyDescent="0.2">
      <c r="A13" s="28" t="s">
        <v>130</v>
      </c>
      <c r="B13" s="29">
        <v>210</v>
      </c>
      <c r="C13" s="18">
        <v>32</v>
      </c>
      <c r="D13" s="30">
        <v>3.59</v>
      </c>
      <c r="E13" s="28" t="s">
        <v>131</v>
      </c>
      <c r="F13" s="16" t="s">
        <v>117</v>
      </c>
      <c r="G13" s="28" t="s">
        <v>118</v>
      </c>
      <c r="H13" s="16" t="s">
        <v>119</v>
      </c>
      <c r="I13" s="13"/>
    </row>
    <row r="14" spans="1:9" x14ac:dyDescent="0.2">
      <c r="A14" s="28" t="s">
        <v>132</v>
      </c>
      <c r="B14" s="29">
        <v>210</v>
      </c>
      <c r="C14" s="18">
        <v>41</v>
      </c>
      <c r="D14" s="30">
        <v>0.25</v>
      </c>
      <c r="E14" s="28" t="s">
        <v>116</v>
      </c>
      <c r="F14" s="16" t="s">
        <v>127</v>
      </c>
      <c r="G14" s="28" t="s">
        <v>118</v>
      </c>
      <c r="H14" s="16" t="s">
        <v>127</v>
      </c>
      <c r="I14" s="13" t="s">
        <v>133</v>
      </c>
    </row>
    <row r="16" spans="1:9" x14ac:dyDescent="0.2">
      <c r="A16" s="26" t="s">
        <v>134</v>
      </c>
      <c r="B16" s="27" t="s">
        <v>135</v>
      </c>
      <c r="C16" s="27"/>
      <c r="D16" s="27" t="s">
        <v>136</v>
      </c>
      <c r="E16" s="27"/>
      <c r="F16" s="27" t="s">
        <v>137</v>
      </c>
      <c r="G16" s="27"/>
      <c r="H16" s="27"/>
      <c r="I16" s="27"/>
    </row>
    <row r="17" spans="1:9" x14ac:dyDescent="0.2">
      <c r="A17" s="28" t="s">
        <v>138</v>
      </c>
      <c r="B17" s="29">
        <v>720</v>
      </c>
      <c r="C17" s="20">
        <v>12</v>
      </c>
      <c r="D17" s="30">
        <v>2.6</v>
      </c>
      <c r="E17" s="28" t="s">
        <v>116</v>
      </c>
      <c r="F17" s="16" t="s">
        <v>139</v>
      </c>
      <c r="G17" s="31" t="s">
        <v>122</v>
      </c>
      <c r="H17" s="16" t="s">
        <v>119</v>
      </c>
      <c r="I17" s="13"/>
    </row>
    <row r="18" spans="1:9" x14ac:dyDescent="0.2">
      <c r="A18" s="28" t="s">
        <v>140</v>
      </c>
      <c r="B18" s="29">
        <v>720</v>
      </c>
      <c r="C18" s="20">
        <v>18</v>
      </c>
      <c r="D18" s="30">
        <v>0.39</v>
      </c>
      <c r="E18" s="28" t="s">
        <v>116</v>
      </c>
      <c r="F18" s="16" t="s">
        <v>72</v>
      </c>
      <c r="G18" s="28" t="s">
        <v>118</v>
      </c>
      <c r="H18" s="16" t="s">
        <v>141</v>
      </c>
      <c r="I18" s="13" t="s">
        <v>142</v>
      </c>
    </row>
    <row r="19" spans="1:9" ht="28" x14ac:dyDescent="0.2">
      <c r="A19" s="28" t="s">
        <v>143</v>
      </c>
      <c r="B19" s="29">
        <v>590</v>
      </c>
      <c r="C19" s="20">
        <v>19</v>
      </c>
      <c r="D19" s="30">
        <v>0.76</v>
      </c>
      <c r="E19" s="28" t="s">
        <v>116</v>
      </c>
      <c r="F19" s="16" t="s">
        <v>72</v>
      </c>
      <c r="G19" s="28" t="s">
        <v>118</v>
      </c>
      <c r="H19" s="16" t="s">
        <v>144</v>
      </c>
      <c r="I19" s="13" t="s">
        <v>145</v>
      </c>
    </row>
    <row r="20" spans="1:9" ht="28" x14ac:dyDescent="0.2">
      <c r="A20" s="28" t="s">
        <v>146</v>
      </c>
      <c r="B20" s="29">
        <v>590</v>
      </c>
      <c r="C20" s="20">
        <v>23</v>
      </c>
      <c r="D20" s="30">
        <v>2.13</v>
      </c>
      <c r="E20" s="28" t="s">
        <v>116</v>
      </c>
      <c r="F20" s="16" t="s">
        <v>147</v>
      </c>
      <c r="G20" s="28" t="s">
        <v>148</v>
      </c>
      <c r="H20" s="16" t="s">
        <v>149</v>
      </c>
      <c r="I20" s="13" t="s">
        <v>150</v>
      </c>
    </row>
    <row r="21" spans="1:9" x14ac:dyDescent="0.2">
      <c r="A21" s="28" t="s">
        <v>151</v>
      </c>
      <c r="B21" s="29">
        <v>480</v>
      </c>
      <c r="C21" s="20">
        <v>29</v>
      </c>
      <c r="D21" s="30">
        <v>0.63</v>
      </c>
      <c r="E21" s="28" t="s">
        <v>116</v>
      </c>
      <c r="F21" s="16" t="s">
        <v>152</v>
      </c>
      <c r="G21" s="31" t="s">
        <v>122</v>
      </c>
      <c r="H21" s="16" t="s">
        <v>119</v>
      </c>
      <c r="I21" s="13"/>
    </row>
    <row r="22" spans="1:9" x14ac:dyDescent="0.2">
      <c r="A22" s="28" t="s">
        <v>153</v>
      </c>
      <c r="B22" s="29">
        <v>480</v>
      </c>
      <c r="C22" s="20">
        <v>27</v>
      </c>
      <c r="D22" s="30">
        <v>2.35</v>
      </c>
      <c r="E22" s="28" t="s">
        <v>131</v>
      </c>
      <c r="F22" s="16" t="s">
        <v>154</v>
      </c>
      <c r="G22" s="28" t="s">
        <v>118</v>
      </c>
      <c r="H22" s="16" t="s">
        <v>154</v>
      </c>
      <c r="I22" s="13" t="s">
        <v>155</v>
      </c>
    </row>
    <row r="23" spans="1:9" x14ac:dyDescent="0.2">
      <c r="A23" s="28" t="s">
        <v>156</v>
      </c>
      <c r="B23" s="29">
        <v>260</v>
      </c>
      <c r="C23" s="20">
        <v>15</v>
      </c>
      <c r="D23" s="30">
        <v>2.56</v>
      </c>
      <c r="E23" s="28" t="s">
        <v>116</v>
      </c>
      <c r="F23" s="16" t="s">
        <v>154</v>
      </c>
      <c r="G23" s="28" t="s">
        <v>118</v>
      </c>
      <c r="H23" s="16" t="s">
        <v>119</v>
      </c>
      <c r="I23" s="13"/>
    </row>
    <row r="24" spans="1:9" x14ac:dyDescent="0.2">
      <c r="A24" s="28" t="s">
        <v>157</v>
      </c>
      <c r="B24" s="29">
        <v>210</v>
      </c>
      <c r="C24" s="20">
        <v>16</v>
      </c>
      <c r="D24" s="30">
        <v>0.47</v>
      </c>
      <c r="E24" s="28" t="s">
        <v>116</v>
      </c>
      <c r="F24" s="16" t="s">
        <v>158</v>
      </c>
      <c r="G24" s="31" t="s">
        <v>122</v>
      </c>
      <c r="H24" s="16" t="s">
        <v>119</v>
      </c>
      <c r="I24" s="13"/>
    </row>
    <row r="25" spans="1:9" x14ac:dyDescent="0.2">
      <c r="A25" s="28" t="s">
        <v>159</v>
      </c>
      <c r="B25" s="29">
        <v>210</v>
      </c>
      <c r="C25" s="20">
        <v>23</v>
      </c>
      <c r="D25" s="30">
        <v>0</v>
      </c>
      <c r="E25" s="28" t="s">
        <v>116</v>
      </c>
      <c r="F25" s="16" t="s">
        <v>158</v>
      </c>
      <c r="G25" s="31" t="s">
        <v>122</v>
      </c>
      <c r="H25" s="16" t="s">
        <v>119</v>
      </c>
      <c r="I25" s="13"/>
    </row>
    <row r="26" spans="1:9" x14ac:dyDescent="0.2">
      <c r="A26" s="28" t="s">
        <v>160</v>
      </c>
      <c r="B26" s="29">
        <v>210</v>
      </c>
      <c r="C26" s="20">
        <v>21</v>
      </c>
      <c r="D26" s="30">
        <v>0.03</v>
      </c>
      <c r="E26" s="28" t="s">
        <v>131</v>
      </c>
      <c r="F26" s="16" t="s">
        <v>158</v>
      </c>
      <c r="G26" s="31" t="s">
        <v>122</v>
      </c>
      <c r="H26" s="16" t="s">
        <v>119</v>
      </c>
      <c r="I26" s="13"/>
    </row>
    <row r="27" spans="1:9" x14ac:dyDescent="0.2">
      <c r="A27" s="28" t="s">
        <v>161</v>
      </c>
      <c r="B27" s="29">
        <v>210</v>
      </c>
      <c r="C27" s="20">
        <v>12</v>
      </c>
      <c r="D27" s="30">
        <v>1.01</v>
      </c>
      <c r="E27" s="28" t="s">
        <v>116</v>
      </c>
      <c r="F27" s="16" t="s">
        <v>139</v>
      </c>
      <c r="G27" s="31" t="s">
        <v>122</v>
      </c>
      <c r="H27" s="16" t="s">
        <v>119</v>
      </c>
      <c r="I27" s="13"/>
    </row>
    <row r="28" spans="1:9" x14ac:dyDescent="0.2">
      <c r="A28" s="28" t="s">
        <v>162</v>
      </c>
      <c r="B28" s="29">
        <v>210</v>
      </c>
      <c r="C28" s="20">
        <v>13</v>
      </c>
      <c r="D28" s="30">
        <v>1.1000000000000001</v>
      </c>
      <c r="E28" s="28" t="s">
        <v>163</v>
      </c>
      <c r="F28" s="16" t="s">
        <v>139</v>
      </c>
      <c r="G28" s="31" t="s">
        <v>122</v>
      </c>
      <c r="H28" s="16" t="s">
        <v>119</v>
      </c>
      <c r="I28" s="13"/>
    </row>
    <row r="29" spans="1:9" x14ac:dyDescent="0.2">
      <c r="A29" s="28" t="s">
        <v>164</v>
      </c>
      <c r="B29" s="29">
        <v>210</v>
      </c>
      <c r="C29" s="20">
        <v>23</v>
      </c>
      <c r="D29" s="30">
        <v>0.61</v>
      </c>
      <c r="E29" s="28" t="s">
        <v>116</v>
      </c>
      <c r="F29" s="16" t="s">
        <v>72</v>
      </c>
      <c r="G29" s="28" t="s">
        <v>118</v>
      </c>
      <c r="H29" s="16" t="s">
        <v>141</v>
      </c>
      <c r="I29" s="13" t="s">
        <v>165</v>
      </c>
    </row>
    <row r="30" spans="1:9" x14ac:dyDescent="0.2">
      <c r="A30" s="28" t="s">
        <v>166</v>
      </c>
      <c r="B30" s="29">
        <v>210</v>
      </c>
      <c r="C30" s="20">
        <v>18</v>
      </c>
      <c r="D30" s="30">
        <v>0.3</v>
      </c>
      <c r="E30" s="28" t="s">
        <v>116</v>
      </c>
      <c r="F30" s="16" t="s">
        <v>72</v>
      </c>
      <c r="G30" s="28" t="s">
        <v>118</v>
      </c>
      <c r="H30" s="16" t="s">
        <v>167</v>
      </c>
      <c r="I30" s="13" t="s">
        <v>168</v>
      </c>
    </row>
    <row r="31" spans="1:9" x14ac:dyDescent="0.2">
      <c r="A31" s="28" t="s">
        <v>169</v>
      </c>
      <c r="B31" s="29">
        <v>170</v>
      </c>
      <c r="C31" s="20">
        <v>19</v>
      </c>
      <c r="D31" s="30">
        <v>0.59</v>
      </c>
      <c r="E31" s="28" t="s">
        <v>116</v>
      </c>
      <c r="F31" s="16" t="s">
        <v>152</v>
      </c>
      <c r="G31" s="31" t="s">
        <v>122</v>
      </c>
      <c r="H31" s="16" t="s">
        <v>119</v>
      </c>
      <c r="I31" s="13"/>
    </row>
    <row r="32" spans="1:9" x14ac:dyDescent="0.2">
      <c r="A32" s="28" t="s">
        <v>170</v>
      </c>
      <c r="B32" s="29">
        <v>170</v>
      </c>
      <c r="C32" s="20">
        <v>18</v>
      </c>
      <c r="D32" s="30">
        <v>0.02</v>
      </c>
      <c r="E32" s="28" t="s">
        <v>131</v>
      </c>
      <c r="F32" s="16" t="s">
        <v>158</v>
      </c>
      <c r="G32" s="31" t="s">
        <v>122</v>
      </c>
      <c r="H32" s="16" t="s">
        <v>119</v>
      </c>
      <c r="I32" s="13"/>
    </row>
    <row r="33" spans="1:9" x14ac:dyDescent="0.2">
      <c r="A33" s="28" t="s">
        <v>171</v>
      </c>
      <c r="B33" s="29">
        <v>140</v>
      </c>
      <c r="C33" s="20">
        <v>17</v>
      </c>
      <c r="D33" s="30">
        <v>3.42</v>
      </c>
      <c r="E33" s="28" t="s">
        <v>131</v>
      </c>
      <c r="F33" s="16" t="s">
        <v>154</v>
      </c>
      <c r="G33" s="28" t="s">
        <v>118</v>
      </c>
      <c r="H33" s="16" t="s">
        <v>119</v>
      </c>
      <c r="I33" s="13"/>
    </row>
    <row r="34" spans="1:9" ht="28" x14ac:dyDescent="0.2">
      <c r="A34" s="28" t="s">
        <v>172</v>
      </c>
      <c r="B34" s="29">
        <v>140</v>
      </c>
      <c r="C34" s="20">
        <v>29</v>
      </c>
      <c r="D34" s="30">
        <v>2.86</v>
      </c>
      <c r="E34" s="28" t="s">
        <v>116</v>
      </c>
      <c r="F34" s="16" t="s">
        <v>147</v>
      </c>
      <c r="G34" s="28" t="s">
        <v>148</v>
      </c>
      <c r="H34" s="16" t="s">
        <v>149</v>
      </c>
      <c r="I34" s="13" t="s">
        <v>173</v>
      </c>
    </row>
    <row r="35" spans="1:9" x14ac:dyDescent="0.2">
      <c r="A35" s="28" t="s">
        <v>174</v>
      </c>
      <c r="B35" s="29">
        <v>110</v>
      </c>
      <c r="C35" s="20">
        <v>18</v>
      </c>
      <c r="D35" s="30">
        <v>0.63</v>
      </c>
      <c r="E35" s="28" t="s">
        <v>116</v>
      </c>
      <c r="F35" s="16" t="s">
        <v>154</v>
      </c>
      <c r="G35" s="28" t="s">
        <v>118</v>
      </c>
      <c r="H35" s="16" t="s">
        <v>119</v>
      </c>
      <c r="I35" s="13"/>
    </row>
    <row r="36" spans="1:9" x14ac:dyDescent="0.2">
      <c r="A36" s="28" t="s">
        <v>175</v>
      </c>
      <c r="B36" s="29">
        <v>110</v>
      </c>
      <c r="C36" s="20">
        <v>27</v>
      </c>
      <c r="D36" s="30">
        <v>0.32</v>
      </c>
      <c r="E36" s="28" t="s">
        <v>116</v>
      </c>
      <c r="F36" s="16" t="s">
        <v>158</v>
      </c>
      <c r="G36" s="31" t="s">
        <v>122</v>
      </c>
      <c r="H36" s="16" t="s">
        <v>119</v>
      </c>
      <c r="I36" s="13"/>
    </row>
    <row r="37" spans="1:9" x14ac:dyDescent="0.2">
      <c r="A37" s="28" t="s">
        <v>176</v>
      </c>
      <c r="B37" s="29">
        <v>90</v>
      </c>
      <c r="C37" s="20">
        <v>0</v>
      </c>
      <c r="D37" s="30">
        <v>5.75</v>
      </c>
      <c r="E37" s="28" t="s">
        <v>177</v>
      </c>
      <c r="F37" s="16" t="s">
        <v>154</v>
      </c>
      <c r="G37" s="28" t="s">
        <v>118</v>
      </c>
      <c r="H37" s="16" t="s">
        <v>119</v>
      </c>
      <c r="I37" s="13"/>
    </row>
    <row r="38" spans="1:9" x14ac:dyDescent="0.2">
      <c r="A38" s="28" t="s">
        <v>178</v>
      </c>
      <c r="B38" s="29">
        <v>90</v>
      </c>
      <c r="C38" s="20">
        <v>0</v>
      </c>
      <c r="D38" s="30">
        <v>0.04</v>
      </c>
      <c r="E38" s="28" t="s">
        <v>177</v>
      </c>
      <c r="F38" s="16" t="s">
        <v>158</v>
      </c>
      <c r="G38" s="31" t="s">
        <v>122</v>
      </c>
      <c r="H38" s="16" t="s">
        <v>119</v>
      </c>
      <c r="I38" s="13"/>
    </row>
    <row r="39" spans="1:9" x14ac:dyDescent="0.2">
      <c r="A39" s="28" t="s">
        <v>179</v>
      </c>
      <c r="B39" s="29">
        <v>90</v>
      </c>
      <c r="C39" s="20">
        <v>0</v>
      </c>
      <c r="D39" s="30">
        <v>13.24</v>
      </c>
      <c r="E39" s="28" t="s">
        <v>177</v>
      </c>
      <c r="F39" s="16" t="s">
        <v>154</v>
      </c>
      <c r="G39" s="28" t="s">
        <v>118</v>
      </c>
      <c r="H39" s="16" t="s">
        <v>154</v>
      </c>
      <c r="I39" s="13" t="s">
        <v>180</v>
      </c>
    </row>
    <row r="41" spans="1:9" x14ac:dyDescent="0.2">
      <c r="A41" s="26" t="s">
        <v>181</v>
      </c>
      <c r="B41" s="27" t="s">
        <v>182</v>
      </c>
      <c r="C41" s="27"/>
      <c r="D41" s="27" t="s">
        <v>183</v>
      </c>
      <c r="E41" s="27"/>
      <c r="F41" s="27" t="s">
        <v>184</v>
      </c>
      <c r="G41" s="27"/>
      <c r="H41" s="27"/>
      <c r="I41" s="27"/>
    </row>
    <row r="42" spans="1:9" x14ac:dyDescent="0.2">
      <c r="A42" s="28" t="s">
        <v>185</v>
      </c>
      <c r="B42" s="29">
        <v>1900</v>
      </c>
      <c r="C42" s="18">
        <v>35</v>
      </c>
      <c r="D42" s="30">
        <v>2.06</v>
      </c>
      <c r="E42" s="28" t="s">
        <v>116</v>
      </c>
      <c r="F42" s="16" t="s">
        <v>186</v>
      </c>
      <c r="G42" s="28" t="s">
        <v>118</v>
      </c>
      <c r="H42" s="16" t="s">
        <v>119</v>
      </c>
      <c r="I42" s="13"/>
    </row>
    <row r="43" spans="1:9" x14ac:dyDescent="0.2">
      <c r="A43" s="28" t="s">
        <v>187</v>
      </c>
      <c r="B43" s="29">
        <v>320</v>
      </c>
      <c r="C43" s="20">
        <v>19</v>
      </c>
      <c r="D43" s="30">
        <v>1.29</v>
      </c>
      <c r="E43" s="28" t="s">
        <v>116</v>
      </c>
      <c r="F43" s="16" t="s">
        <v>188</v>
      </c>
      <c r="G43" s="28" t="s">
        <v>118</v>
      </c>
      <c r="H43" s="16" t="s">
        <v>119</v>
      </c>
      <c r="I43" s="13"/>
    </row>
    <row r="44" spans="1:9" x14ac:dyDescent="0.2">
      <c r="A44" s="28" t="s">
        <v>189</v>
      </c>
      <c r="B44" s="29">
        <v>320</v>
      </c>
      <c r="C44" s="18">
        <v>32</v>
      </c>
      <c r="D44" s="30">
        <v>1.29</v>
      </c>
      <c r="E44" s="28" t="s">
        <v>116</v>
      </c>
      <c r="F44" s="16" t="s">
        <v>186</v>
      </c>
      <c r="G44" s="28" t="s">
        <v>118</v>
      </c>
      <c r="H44" s="16" t="s">
        <v>119</v>
      </c>
      <c r="I44" s="13"/>
    </row>
    <row r="45" spans="1:9" x14ac:dyDescent="0.2">
      <c r="A45" s="28" t="s">
        <v>190</v>
      </c>
      <c r="B45" s="29">
        <v>320</v>
      </c>
      <c r="C45" s="18">
        <v>45</v>
      </c>
      <c r="D45" s="30">
        <v>1.29</v>
      </c>
      <c r="E45" s="28" t="s">
        <v>116</v>
      </c>
      <c r="F45" s="16" t="s">
        <v>186</v>
      </c>
      <c r="G45" s="28" t="s">
        <v>118</v>
      </c>
      <c r="H45" s="16" t="s">
        <v>119</v>
      </c>
      <c r="I45" s="13"/>
    </row>
    <row r="46" spans="1:9" x14ac:dyDescent="0.2">
      <c r="A46" s="32" t="s">
        <v>191</v>
      </c>
      <c r="B46" s="33">
        <v>170</v>
      </c>
      <c r="C46" s="34">
        <v>18</v>
      </c>
      <c r="D46" s="35">
        <v>0</v>
      </c>
      <c r="E46" s="32" t="s">
        <v>131</v>
      </c>
      <c r="F46" s="36" t="s">
        <v>192</v>
      </c>
      <c r="G46" s="37" t="s">
        <v>193</v>
      </c>
      <c r="H46" s="36" t="s">
        <v>119</v>
      </c>
      <c r="I46" s="38"/>
    </row>
    <row r="47" spans="1:9" x14ac:dyDescent="0.2">
      <c r="A47" s="28" t="s">
        <v>194</v>
      </c>
      <c r="B47" s="29">
        <v>170</v>
      </c>
      <c r="C47" s="18">
        <v>32</v>
      </c>
      <c r="D47" s="30">
        <v>0</v>
      </c>
      <c r="E47" s="28" t="s">
        <v>116</v>
      </c>
      <c r="F47" s="16" t="s">
        <v>195</v>
      </c>
      <c r="G47" s="31" t="s">
        <v>122</v>
      </c>
      <c r="H47" s="16" t="s">
        <v>119</v>
      </c>
      <c r="I47" s="13"/>
    </row>
    <row r="48" spans="1:9" x14ac:dyDescent="0.2">
      <c r="A48" s="28" t="s">
        <v>196</v>
      </c>
      <c r="B48" s="29">
        <v>140</v>
      </c>
      <c r="C48" s="20">
        <v>30</v>
      </c>
      <c r="D48" s="30">
        <v>0</v>
      </c>
      <c r="E48" s="28" t="s">
        <v>116</v>
      </c>
      <c r="F48" s="16" t="s">
        <v>188</v>
      </c>
      <c r="G48" s="28" t="s">
        <v>118</v>
      </c>
      <c r="H48" s="16" t="s">
        <v>119</v>
      </c>
      <c r="I48" s="13"/>
    </row>
    <row r="49" spans="1:9" ht="28" x14ac:dyDescent="0.2">
      <c r="A49" s="28" t="s">
        <v>197</v>
      </c>
      <c r="B49" s="29">
        <v>140</v>
      </c>
      <c r="C49" s="20">
        <v>17</v>
      </c>
      <c r="D49" s="30">
        <v>1.06</v>
      </c>
      <c r="E49" s="28" t="s">
        <v>131</v>
      </c>
      <c r="F49" s="16" t="s">
        <v>198</v>
      </c>
      <c r="G49" s="31" t="s">
        <v>122</v>
      </c>
      <c r="H49" s="16" t="s">
        <v>119</v>
      </c>
      <c r="I49" s="13"/>
    </row>
    <row r="50" spans="1:9" x14ac:dyDescent="0.2">
      <c r="A50" s="32" t="s">
        <v>199</v>
      </c>
      <c r="B50" s="33">
        <v>140</v>
      </c>
      <c r="C50" s="39">
        <v>41</v>
      </c>
      <c r="D50" s="35">
        <v>2.68</v>
      </c>
      <c r="E50" s="32" t="s">
        <v>131</v>
      </c>
      <c r="F50" s="36" t="s">
        <v>192</v>
      </c>
      <c r="G50" s="37" t="s">
        <v>193</v>
      </c>
      <c r="H50" s="36" t="s">
        <v>119</v>
      </c>
      <c r="I50" s="38"/>
    </row>
    <row r="51" spans="1:9" x14ac:dyDescent="0.2">
      <c r="A51" s="28" t="s">
        <v>200</v>
      </c>
      <c r="B51" s="29">
        <v>110</v>
      </c>
      <c r="C51" s="18">
        <v>36</v>
      </c>
      <c r="D51" s="30">
        <v>4.37</v>
      </c>
      <c r="E51" s="28" t="s">
        <v>116</v>
      </c>
      <c r="F51" s="16" t="s">
        <v>186</v>
      </c>
      <c r="G51" s="28" t="s">
        <v>118</v>
      </c>
      <c r="H51" s="16" t="s">
        <v>119</v>
      </c>
      <c r="I51" s="13"/>
    </row>
    <row r="52" spans="1:9" x14ac:dyDescent="0.2">
      <c r="A52" s="32" t="s">
        <v>201</v>
      </c>
      <c r="B52" s="33">
        <v>110</v>
      </c>
      <c r="C52" s="34">
        <v>22</v>
      </c>
      <c r="D52" s="35">
        <v>10.02</v>
      </c>
      <c r="E52" s="32" t="s">
        <v>131</v>
      </c>
      <c r="F52" s="36" t="s">
        <v>192</v>
      </c>
      <c r="G52" s="37" t="s">
        <v>193</v>
      </c>
      <c r="H52" s="36" t="s">
        <v>119</v>
      </c>
      <c r="I52" s="38"/>
    </row>
    <row r="53" spans="1:9" x14ac:dyDescent="0.2">
      <c r="A53" s="28" t="s">
        <v>202</v>
      </c>
      <c r="B53" s="29">
        <v>110</v>
      </c>
      <c r="C53" s="20">
        <v>24</v>
      </c>
      <c r="D53" s="30">
        <v>1.1599999999999999</v>
      </c>
      <c r="E53" s="28" t="s">
        <v>116</v>
      </c>
      <c r="F53" s="16" t="s">
        <v>203</v>
      </c>
      <c r="G53" s="28" t="s">
        <v>118</v>
      </c>
      <c r="H53" s="16" t="s">
        <v>119</v>
      </c>
      <c r="I53" s="13"/>
    </row>
    <row r="54" spans="1:9" x14ac:dyDescent="0.2">
      <c r="A54" s="28" t="s">
        <v>204</v>
      </c>
      <c r="B54" s="29">
        <v>110</v>
      </c>
      <c r="C54" s="20">
        <v>22</v>
      </c>
      <c r="D54" s="30">
        <v>2.0699999999999998</v>
      </c>
      <c r="E54" s="28" t="s">
        <v>163</v>
      </c>
      <c r="F54" s="16" t="s">
        <v>205</v>
      </c>
      <c r="G54" s="28" t="s">
        <v>118</v>
      </c>
      <c r="H54" s="16" t="s">
        <v>119</v>
      </c>
      <c r="I54" s="13"/>
    </row>
    <row r="55" spans="1:9" x14ac:dyDescent="0.2">
      <c r="A55" s="32" t="s">
        <v>206</v>
      </c>
      <c r="B55" s="33">
        <v>110</v>
      </c>
      <c r="C55" s="34">
        <v>30</v>
      </c>
      <c r="D55" s="35">
        <v>4.0599999999999996</v>
      </c>
      <c r="E55" s="32" t="s">
        <v>131</v>
      </c>
      <c r="F55" s="36" t="s">
        <v>192</v>
      </c>
      <c r="G55" s="37" t="s">
        <v>193</v>
      </c>
      <c r="H55" s="36" t="s">
        <v>119</v>
      </c>
      <c r="I55" s="38"/>
    </row>
    <row r="56" spans="1:9" x14ac:dyDescent="0.2">
      <c r="A56" s="32" t="s">
        <v>207</v>
      </c>
      <c r="B56" s="33">
        <v>110</v>
      </c>
      <c r="C56" s="34">
        <v>0</v>
      </c>
      <c r="D56" s="35">
        <v>4.0599999999999996</v>
      </c>
      <c r="E56" s="32" t="s">
        <v>131</v>
      </c>
      <c r="F56" s="36" t="s">
        <v>192</v>
      </c>
      <c r="G56" s="37" t="s">
        <v>193</v>
      </c>
      <c r="H56" s="36" t="s">
        <v>119</v>
      </c>
      <c r="I56" s="38"/>
    </row>
    <row r="57" spans="1:9" ht="28" x14ac:dyDescent="0.2">
      <c r="A57" s="28" t="s">
        <v>208</v>
      </c>
      <c r="B57" s="29">
        <v>110</v>
      </c>
      <c r="C57" s="20">
        <v>16</v>
      </c>
      <c r="D57" s="30">
        <v>1.06</v>
      </c>
      <c r="E57" s="28" t="s">
        <v>131</v>
      </c>
      <c r="F57" s="16" t="s">
        <v>198</v>
      </c>
      <c r="G57" s="31" t="s">
        <v>122</v>
      </c>
      <c r="H57" s="16" t="s">
        <v>119</v>
      </c>
      <c r="I57" s="13"/>
    </row>
    <row r="58" spans="1:9" x14ac:dyDescent="0.2">
      <c r="A58" s="32" t="s">
        <v>209</v>
      </c>
      <c r="B58" s="33">
        <v>110</v>
      </c>
      <c r="C58" s="34">
        <v>18</v>
      </c>
      <c r="D58" s="35">
        <v>4.78</v>
      </c>
      <c r="E58" s="32" t="s">
        <v>131</v>
      </c>
      <c r="F58" s="36" t="s">
        <v>192</v>
      </c>
      <c r="G58" s="37" t="s">
        <v>193</v>
      </c>
      <c r="H58" s="36" t="s">
        <v>119</v>
      </c>
      <c r="I58" s="38"/>
    </row>
    <row r="59" spans="1:9" x14ac:dyDescent="0.2">
      <c r="A59" s="32" t="s">
        <v>210</v>
      </c>
      <c r="B59" s="33">
        <v>110</v>
      </c>
      <c r="C59" s="34">
        <v>23</v>
      </c>
      <c r="D59" s="35">
        <v>4.78</v>
      </c>
      <c r="E59" s="32" t="s">
        <v>131</v>
      </c>
      <c r="F59" s="36" t="s">
        <v>192</v>
      </c>
      <c r="G59" s="37" t="s">
        <v>193</v>
      </c>
      <c r="H59" s="36" t="s">
        <v>119</v>
      </c>
      <c r="I59" s="38"/>
    </row>
    <row r="60" spans="1:9" x14ac:dyDescent="0.2">
      <c r="A60" s="32" t="s">
        <v>211</v>
      </c>
      <c r="B60" s="33">
        <v>110</v>
      </c>
      <c r="C60" s="34">
        <v>19</v>
      </c>
      <c r="D60" s="35">
        <v>10.02</v>
      </c>
      <c r="E60" s="32" t="s">
        <v>131</v>
      </c>
      <c r="F60" s="36" t="s">
        <v>192</v>
      </c>
      <c r="G60" s="37" t="s">
        <v>193</v>
      </c>
      <c r="H60" s="36" t="s">
        <v>119</v>
      </c>
      <c r="I60" s="38"/>
    </row>
    <row r="62" spans="1:9" x14ac:dyDescent="0.2">
      <c r="A62" s="26" t="s">
        <v>212</v>
      </c>
      <c r="B62" s="27" t="s">
        <v>112</v>
      </c>
      <c r="C62" s="27"/>
      <c r="D62" s="27" t="s">
        <v>213</v>
      </c>
      <c r="E62" s="27"/>
      <c r="F62" s="27" t="s">
        <v>214</v>
      </c>
      <c r="G62" s="27"/>
      <c r="H62" s="27"/>
      <c r="I62" s="27"/>
    </row>
    <row r="63" spans="1:9" x14ac:dyDescent="0.2">
      <c r="A63" s="28" t="s">
        <v>215</v>
      </c>
      <c r="B63" s="29">
        <v>1600</v>
      </c>
      <c r="C63" s="18">
        <v>41</v>
      </c>
      <c r="D63" s="30">
        <v>0.93</v>
      </c>
      <c r="E63" s="28" t="s">
        <v>116</v>
      </c>
      <c r="F63" s="16" t="s">
        <v>216</v>
      </c>
      <c r="G63" s="28" t="s">
        <v>118</v>
      </c>
      <c r="H63" s="16" t="s">
        <v>119</v>
      </c>
      <c r="I63" s="13"/>
    </row>
    <row r="64" spans="1:9" x14ac:dyDescent="0.2">
      <c r="A64" s="28" t="s">
        <v>217</v>
      </c>
      <c r="B64" s="29">
        <v>480</v>
      </c>
      <c r="C64" s="20">
        <v>13</v>
      </c>
      <c r="D64" s="30">
        <v>1.9</v>
      </c>
      <c r="E64" s="28" t="s">
        <v>116</v>
      </c>
      <c r="F64" s="16" t="s">
        <v>218</v>
      </c>
      <c r="G64" s="28" t="s">
        <v>118</v>
      </c>
      <c r="H64" s="16" t="s">
        <v>119</v>
      </c>
      <c r="I64" s="13"/>
    </row>
    <row r="65" spans="1:9" x14ac:dyDescent="0.2">
      <c r="A65" s="28" t="s">
        <v>219</v>
      </c>
      <c r="B65" s="29">
        <v>480</v>
      </c>
      <c r="C65" s="18">
        <v>31</v>
      </c>
      <c r="D65" s="30">
        <v>1.87</v>
      </c>
      <c r="E65" s="28" t="s">
        <v>131</v>
      </c>
      <c r="F65" s="16" t="s">
        <v>220</v>
      </c>
      <c r="G65" s="28" t="s">
        <v>118</v>
      </c>
      <c r="H65" s="16" t="s">
        <v>119</v>
      </c>
      <c r="I65" s="13"/>
    </row>
    <row r="66" spans="1:9" x14ac:dyDescent="0.2">
      <c r="A66" s="28" t="s">
        <v>221</v>
      </c>
      <c r="B66" s="29">
        <v>320</v>
      </c>
      <c r="C66" s="18">
        <v>38</v>
      </c>
      <c r="D66" s="30">
        <v>1.41</v>
      </c>
      <c r="E66" s="28" t="s">
        <v>131</v>
      </c>
      <c r="F66" s="16" t="s">
        <v>216</v>
      </c>
      <c r="G66" s="28" t="s">
        <v>118</v>
      </c>
      <c r="H66" s="16" t="s">
        <v>119</v>
      </c>
      <c r="I66" s="13"/>
    </row>
    <row r="67" spans="1:9" x14ac:dyDescent="0.2">
      <c r="A67" s="28" t="s">
        <v>222</v>
      </c>
      <c r="B67" s="29">
        <v>210</v>
      </c>
      <c r="C67" s="18">
        <v>34</v>
      </c>
      <c r="D67" s="30">
        <v>2.0099999999999998</v>
      </c>
      <c r="E67" s="28" t="s">
        <v>163</v>
      </c>
      <c r="F67" s="16" t="s">
        <v>205</v>
      </c>
      <c r="G67" s="28" t="s">
        <v>118</v>
      </c>
      <c r="H67" s="16" t="s">
        <v>119</v>
      </c>
      <c r="I67" s="13"/>
    </row>
    <row r="68" spans="1:9" x14ac:dyDescent="0.2">
      <c r="A68" s="28" t="s">
        <v>223</v>
      </c>
      <c r="B68" s="29">
        <v>170</v>
      </c>
      <c r="C68" s="18">
        <v>37</v>
      </c>
      <c r="D68" s="30">
        <v>1.01</v>
      </c>
      <c r="E68" s="28" t="s">
        <v>131</v>
      </c>
      <c r="F68" s="16" t="s">
        <v>224</v>
      </c>
      <c r="G68" s="28" t="s">
        <v>118</v>
      </c>
      <c r="H68" s="16" t="s">
        <v>119</v>
      </c>
      <c r="I68" s="13"/>
    </row>
    <row r="69" spans="1:9" x14ac:dyDescent="0.2">
      <c r="A69" s="28" t="s">
        <v>225</v>
      </c>
      <c r="B69" s="29">
        <v>110</v>
      </c>
      <c r="C69" s="20">
        <v>29</v>
      </c>
      <c r="D69" s="30">
        <v>0.53</v>
      </c>
      <c r="E69" s="28" t="s">
        <v>226</v>
      </c>
      <c r="F69" s="16" t="s">
        <v>227</v>
      </c>
      <c r="G69" s="28" t="s">
        <v>118</v>
      </c>
      <c r="H69" s="16" t="s">
        <v>119</v>
      </c>
      <c r="I69" s="13"/>
    </row>
    <row r="70" spans="1:9" x14ac:dyDescent="0.2">
      <c r="A70" s="28" t="s">
        <v>228</v>
      </c>
      <c r="B70" s="29">
        <v>110</v>
      </c>
      <c r="C70" s="20">
        <v>29</v>
      </c>
      <c r="D70" s="30">
        <v>3.41</v>
      </c>
      <c r="E70" s="28" t="s">
        <v>116</v>
      </c>
      <c r="F70" s="16" t="s">
        <v>154</v>
      </c>
      <c r="G70" s="28" t="s">
        <v>118</v>
      </c>
      <c r="H70" s="16" t="s">
        <v>119</v>
      </c>
      <c r="I70" s="13"/>
    </row>
    <row r="71" spans="1:9" x14ac:dyDescent="0.2">
      <c r="A71" s="28" t="s">
        <v>229</v>
      </c>
      <c r="B71" s="29">
        <v>70</v>
      </c>
      <c r="C71" s="20">
        <v>0</v>
      </c>
      <c r="D71" s="30">
        <v>2.2200000000000002</v>
      </c>
      <c r="E71" s="28" t="s">
        <v>177</v>
      </c>
      <c r="F71" s="16" t="s">
        <v>216</v>
      </c>
      <c r="G71" s="28" t="s">
        <v>118</v>
      </c>
      <c r="H71" s="16" t="s">
        <v>119</v>
      </c>
      <c r="I71" s="13"/>
    </row>
    <row r="73" spans="1:9" x14ac:dyDescent="0.2">
      <c r="A73" s="26" t="s">
        <v>230</v>
      </c>
      <c r="B73" s="27" t="s">
        <v>231</v>
      </c>
      <c r="C73" s="27"/>
      <c r="D73" s="27" t="s">
        <v>232</v>
      </c>
      <c r="E73" s="27"/>
      <c r="F73" s="27" t="s">
        <v>233</v>
      </c>
      <c r="G73" s="27"/>
      <c r="H73" s="27"/>
      <c r="I73" s="27"/>
    </row>
    <row r="74" spans="1:9" x14ac:dyDescent="0.2">
      <c r="A74" s="28" t="s">
        <v>234</v>
      </c>
      <c r="B74" s="29">
        <v>1900</v>
      </c>
      <c r="C74" s="14">
        <v>51</v>
      </c>
      <c r="D74" s="30">
        <v>2.6</v>
      </c>
      <c r="E74" s="28" t="s">
        <v>116</v>
      </c>
      <c r="F74" s="16" t="s">
        <v>235</v>
      </c>
      <c r="G74" s="28" t="s">
        <v>118</v>
      </c>
      <c r="H74" s="16" t="s">
        <v>236</v>
      </c>
      <c r="I74" s="13" t="s">
        <v>237</v>
      </c>
    </row>
    <row r="75" spans="1:9" x14ac:dyDescent="0.2">
      <c r="A75" s="28" t="s">
        <v>238</v>
      </c>
      <c r="B75" s="29">
        <v>320</v>
      </c>
      <c r="C75" s="18">
        <v>50</v>
      </c>
      <c r="D75" s="30">
        <v>1.42</v>
      </c>
      <c r="E75" s="28" t="s">
        <v>116</v>
      </c>
      <c r="F75" s="16" t="s">
        <v>239</v>
      </c>
      <c r="G75" s="28" t="s">
        <v>118</v>
      </c>
      <c r="H75" s="16" t="s">
        <v>119</v>
      </c>
      <c r="I75" s="13"/>
    </row>
    <row r="76" spans="1:9" x14ac:dyDescent="0.2">
      <c r="A76" s="28" t="s">
        <v>240</v>
      </c>
      <c r="B76" s="29">
        <v>260</v>
      </c>
      <c r="C76" s="14">
        <v>51</v>
      </c>
      <c r="D76" s="30">
        <v>2.11</v>
      </c>
      <c r="E76" s="28" t="s">
        <v>116</v>
      </c>
      <c r="F76" s="16" t="s">
        <v>239</v>
      </c>
      <c r="G76" s="28" t="s">
        <v>118</v>
      </c>
      <c r="H76" s="16" t="s">
        <v>119</v>
      </c>
      <c r="I76" s="13"/>
    </row>
    <row r="77" spans="1:9" x14ac:dyDescent="0.2">
      <c r="A77" s="28" t="s">
        <v>241</v>
      </c>
      <c r="B77" s="29">
        <v>140</v>
      </c>
      <c r="C77" s="18">
        <v>33</v>
      </c>
      <c r="D77" s="30">
        <v>1.4</v>
      </c>
      <c r="E77" s="28" t="s">
        <v>131</v>
      </c>
      <c r="F77" s="16" t="s">
        <v>242</v>
      </c>
      <c r="G77" s="31" t="s">
        <v>122</v>
      </c>
      <c r="H77" s="16" t="s">
        <v>119</v>
      </c>
      <c r="I77" s="13"/>
    </row>
    <row r="78" spans="1:9" x14ac:dyDescent="0.2">
      <c r="A78" s="28" t="s">
        <v>243</v>
      </c>
      <c r="B78" s="29">
        <v>110</v>
      </c>
      <c r="C78" s="18">
        <v>50</v>
      </c>
      <c r="D78" s="30">
        <v>3.58</v>
      </c>
      <c r="E78" s="28" t="s">
        <v>116</v>
      </c>
      <c r="F78" s="16" t="s">
        <v>235</v>
      </c>
      <c r="G78" s="28" t="s">
        <v>118</v>
      </c>
      <c r="H78" s="16" t="s">
        <v>119</v>
      </c>
      <c r="I78" s="13"/>
    </row>
    <row r="79" spans="1:9" x14ac:dyDescent="0.2">
      <c r="A79" s="28" t="s">
        <v>244</v>
      </c>
      <c r="B79" s="29">
        <v>110</v>
      </c>
      <c r="C79" s="18">
        <v>49</v>
      </c>
      <c r="D79" s="30">
        <v>3.58</v>
      </c>
      <c r="E79" s="28" t="s">
        <v>116</v>
      </c>
      <c r="F79" s="16" t="s">
        <v>235</v>
      </c>
      <c r="G79" s="28" t="s">
        <v>118</v>
      </c>
      <c r="H79" s="16" t="s">
        <v>236</v>
      </c>
      <c r="I79" s="13" t="s">
        <v>245</v>
      </c>
    </row>
    <row r="81" spans="1:9" x14ac:dyDescent="0.2">
      <c r="A81" s="26" t="s">
        <v>246</v>
      </c>
      <c r="B81" s="27" t="s">
        <v>247</v>
      </c>
      <c r="C81" s="27"/>
      <c r="D81" s="27" t="s">
        <v>248</v>
      </c>
      <c r="E81" s="27"/>
      <c r="F81" s="27" t="s">
        <v>249</v>
      </c>
      <c r="G81" s="27"/>
      <c r="H81" s="27"/>
      <c r="I81" s="27"/>
    </row>
    <row r="82" spans="1:9" x14ac:dyDescent="0.2">
      <c r="A82" s="28" t="s">
        <v>250</v>
      </c>
      <c r="B82" s="29">
        <v>720</v>
      </c>
      <c r="C82" s="18">
        <v>36</v>
      </c>
      <c r="D82" s="30">
        <v>1.25</v>
      </c>
      <c r="E82" s="28" t="s">
        <v>116</v>
      </c>
      <c r="F82" s="16" t="s">
        <v>251</v>
      </c>
      <c r="G82" s="28" t="s">
        <v>118</v>
      </c>
      <c r="H82" s="16" t="s">
        <v>119</v>
      </c>
      <c r="I82" s="13"/>
    </row>
    <row r="83" spans="1:9" ht="28" x14ac:dyDescent="0.2">
      <c r="A83" s="28" t="s">
        <v>252</v>
      </c>
      <c r="B83" s="29">
        <v>110</v>
      </c>
      <c r="C83" s="18">
        <v>31</v>
      </c>
      <c r="D83" s="30">
        <v>1.3</v>
      </c>
      <c r="E83" s="28" t="s">
        <v>116</v>
      </c>
      <c r="F83" s="16" t="s">
        <v>253</v>
      </c>
      <c r="G83" s="28" t="s">
        <v>118</v>
      </c>
      <c r="H83" s="16" t="s">
        <v>119</v>
      </c>
      <c r="I83" s="13"/>
    </row>
    <row r="84" spans="1:9" ht="28" x14ac:dyDescent="0.2">
      <c r="A84" s="28" t="s">
        <v>254</v>
      </c>
      <c r="B84" s="29">
        <v>110</v>
      </c>
      <c r="C84" s="20">
        <v>21</v>
      </c>
      <c r="D84" s="30">
        <v>2.14</v>
      </c>
      <c r="E84" s="28" t="s">
        <v>116</v>
      </c>
      <c r="F84" s="16" t="s">
        <v>253</v>
      </c>
      <c r="G84" s="28" t="s">
        <v>118</v>
      </c>
      <c r="H84" s="16" t="s">
        <v>119</v>
      </c>
      <c r="I84" s="13"/>
    </row>
    <row r="85" spans="1:9" x14ac:dyDescent="0.2">
      <c r="A85" s="28" t="s">
        <v>255</v>
      </c>
      <c r="B85" s="29">
        <v>110</v>
      </c>
      <c r="C85" s="20">
        <v>25</v>
      </c>
      <c r="D85" s="30">
        <v>0</v>
      </c>
      <c r="E85" s="28" t="s">
        <v>116</v>
      </c>
      <c r="F85" s="16" t="s">
        <v>251</v>
      </c>
      <c r="G85" s="28" t="s">
        <v>118</v>
      </c>
      <c r="H85" s="16" t="s">
        <v>119</v>
      </c>
      <c r="I85" s="13"/>
    </row>
    <row r="87" spans="1:9" x14ac:dyDescent="0.2">
      <c r="A87" s="26" t="s">
        <v>256</v>
      </c>
      <c r="B87" s="27" t="s">
        <v>257</v>
      </c>
      <c r="C87" s="27"/>
      <c r="D87" s="27" t="s">
        <v>258</v>
      </c>
      <c r="E87" s="27"/>
      <c r="F87" s="27" t="s">
        <v>259</v>
      </c>
      <c r="G87" s="27"/>
      <c r="H87" s="27"/>
      <c r="I87" s="27"/>
    </row>
    <row r="88" spans="1:9" x14ac:dyDescent="0.2">
      <c r="A88" s="28" t="s">
        <v>260</v>
      </c>
      <c r="B88" s="29">
        <v>590</v>
      </c>
      <c r="C88" s="20">
        <v>28</v>
      </c>
      <c r="D88" s="30">
        <v>23.25</v>
      </c>
      <c r="E88" s="28" t="s">
        <v>116</v>
      </c>
      <c r="F88" s="16" t="s">
        <v>154</v>
      </c>
      <c r="G88" s="28" t="s">
        <v>118</v>
      </c>
      <c r="H88" s="16" t="s">
        <v>119</v>
      </c>
      <c r="I88" s="13"/>
    </row>
    <row r="89" spans="1:9" x14ac:dyDescent="0.2">
      <c r="A89" s="28" t="s">
        <v>261</v>
      </c>
      <c r="B89" s="29">
        <v>170</v>
      </c>
      <c r="C89" s="20">
        <v>23</v>
      </c>
      <c r="D89" s="30">
        <v>5.25</v>
      </c>
      <c r="E89" s="28" t="s">
        <v>116</v>
      </c>
      <c r="F89" s="16" t="s">
        <v>154</v>
      </c>
      <c r="G89" s="28" t="s">
        <v>118</v>
      </c>
      <c r="H89" s="16" t="s">
        <v>119</v>
      </c>
      <c r="I89" s="13"/>
    </row>
    <row r="91" spans="1:9" x14ac:dyDescent="0.2">
      <c r="A91" s="26" t="s">
        <v>262</v>
      </c>
      <c r="B91" s="27" t="s">
        <v>247</v>
      </c>
      <c r="C91" s="27"/>
      <c r="D91" s="27" t="s">
        <v>263</v>
      </c>
      <c r="E91" s="27"/>
      <c r="F91" s="27" t="s">
        <v>264</v>
      </c>
      <c r="G91" s="27"/>
      <c r="H91" s="27"/>
      <c r="I91" s="27"/>
    </row>
    <row r="92" spans="1:9" x14ac:dyDescent="0.2">
      <c r="A92" s="32" t="s">
        <v>265</v>
      </c>
      <c r="B92" s="33">
        <v>320</v>
      </c>
      <c r="C92" s="34">
        <v>12</v>
      </c>
      <c r="D92" s="35">
        <v>0.45</v>
      </c>
      <c r="E92" s="32" t="s">
        <v>131</v>
      </c>
      <c r="F92" s="36" t="s">
        <v>192</v>
      </c>
      <c r="G92" s="37" t="s">
        <v>193</v>
      </c>
      <c r="H92" s="36" t="s">
        <v>119</v>
      </c>
      <c r="I92" s="38"/>
    </row>
    <row r="93" spans="1:9" x14ac:dyDescent="0.2">
      <c r="A93" s="32" t="s">
        <v>266</v>
      </c>
      <c r="B93" s="33">
        <v>140</v>
      </c>
      <c r="C93" s="34">
        <v>19</v>
      </c>
      <c r="D93" s="35">
        <v>0.67</v>
      </c>
      <c r="E93" s="32" t="s">
        <v>131</v>
      </c>
      <c r="F93" s="36" t="s">
        <v>192</v>
      </c>
      <c r="G93" s="37" t="s">
        <v>193</v>
      </c>
      <c r="H93" s="36" t="s">
        <v>119</v>
      </c>
      <c r="I93" s="38"/>
    </row>
    <row r="94" spans="1:9" x14ac:dyDescent="0.2">
      <c r="A94" s="28" t="s">
        <v>267</v>
      </c>
      <c r="B94" s="29">
        <v>140</v>
      </c>
      <c r="C94" s="18">
        <v>45</v>
      </c>
      <c r="D94" s="30">
        <v>1.1399999999999999</v>
      </c>
      <c r="E94" s="28" t="s">
        <v>131</v>
      </c>
      <c r="F94" s="16" t="s">
        <v>216</v>
      </c>
      <c r="G94" s="28" t="s">
        <v>118</v>
      </c>
      <c r="H94" s="16" t="s">
        <v>119</v>
      </c>
      <c r="I94" s="13"/>
    </row>
    <row r="95" spans="1:9" x14ac:dyDescent="0.2">
      <c r="A95" s="32" t="s">
        <v>268</v>
      </c>
      <c r="B95" s="33">
        <v>110</v>
      </c>
      <c r="C95" s="34">
        <v>9</v>
      </c>
      <c r="D95" s="35">
        <v>0.44</v>
      </c>
      <c r="E95" s="32" t="s">
        <v>131</v>
      </c>
      <c r="F95" s="36" t="s">
        <v>192</v>
      </c>
      <c r="G95" s="37" t="s">
        <v>193</v>
      </c>
      <c r="H95" s="36" t="s">
        <v>119</v>
      </c>
      <c r="I95" s="38"/>
    </row>
    <row r="97" spans="1:9" x14ac:dyDescent="0.2">
      <c r="A97" s="26" t="s">
        <v>269</v>
      </c>
      <c r="B97" s="27" t="s">
        <v>270</v>
      </c>
      <c r="C97" s="27"/>
      <c r="D97" s="27" t="s">
        <v>271</v>
      </c>
      <c r="E97" s="27"/>
      <c r="F97" s="27" t="s">
        <v>272</v>
      </c>
      <c r="G97" s="27"/>
      <c r="H97" s="27"/>
      <c r="I97" s="27"/>
    </row>
    <row r="98" spans="1:9" x14ac:dyDescent="0.2">
      <c r="A98" s="28" t="s">
        <v>273</v>
      </c>
      <c r="B98" s="29">
        <v>210</v>
      </c>
      <c r="C98" s="20">
        <v>30</v>
      </c>
      <c r="D98" s="30">
        <v>1.61</v>
      </c>
      <c r="E98" s="28" t="s">
        <v>116</v>
      </c>
      <c r="F98" s="16" t="s">
        <v>274</v>
      </c>
      <c r="G98" s="28" t="s">
        <v>118</v>
      </c>
      <c r="H98" s="16" t="s">
        <v>119</v>
      </c>
      <c r="I98" s="13"/>
    </row>
    <row r="99" spans="1:9" ht="28" x14ac:dyDescent="0.2">
      <c r="A99" s="28" t="s">
        <v>275</v>
      </c>
      <c r="B99" s="29">
        <v>140</v>
      </c>
      <c r="C99" s="20">
        <v>19</v>
      </c>
      <c r="D99" s="30">
        <v>2.38</v>
      </c>
      <c r="E99" s="28" t="s">
        <v>116</v>
      </c>
      <c r="F99" s="16" t="s">
        <v>274</v>
      </c>
      <c r="G99" s="28" t="s">
        <v>118</v>
      </c>
      <c r="H99" s="16" t="s">
        <v>276</v>
      </c>
      <c r="I99" s="13" t="s">
        <v>277</v>
      </c>
    </row>
    <row r="100" spans="1:9" x14ac:dyDescent="0.2">
      <c r="A100" s="28" t="s">
        <v>278</v>
      </c>
      <c r="B100" s="29">
        <v>30</v>
      </c>
      <c r="C100" s="20">
        <v>0</v>
      </c>
      <c r="D100" s="30">
        <v>0</v>
      </c>
      <c r="E100" s="28" t="s">
        <v>177</v>
      </c>
      <c r="F100" s="16" t="s">
        <v>274</v>
      </c>
      <c r="G100" s="28" t="s">
        <v>118</v>
      </c>
      <c r="H100" s="16" t="s">
        <v>119</v>
      </c>
      <c r="I100" s="13"/>
    </row>
    <row r="101" spans="1:9" ht="28" x14ac:dyDescent="0.2">
      <c r="A101" s="28" t="s">
        <v>279</v>
      </c>
      <c r="B101" s="29">
        <v>30</v>
      </c>
      <c r="C101" s="20">
        <v>0</v>
      </c>
      <c r="D101" s="30">
        <v>2.81</v>
      </c>
      <c r="E101" s="28" t="s">
        <v>177</v>
      </c>
      <c r="F101" s="16" t="s">
        <v>274</v>
      </c>
      <c r="G101" s="28" t="s">
        <v>118</v>
      </c>
      <c r="H101" s="16" t="s">
        <v>276</v>
      </c>
      <c r="I101" s="13" t="s">
        <v>280</v>
      </c>
    </row>
    <row r="102" spans="1:9" x14ac:dyDescent="0.2">
      <c r="A102" s="28" t="s">
        <v>281</v>
      </c>
      <c r="B102" s="29">
        <v>20</v>
      </c>
      <c r="C102" s="20">
        <v>0</v>
      </c>
      <c r="D102" s="30">
        <v>0</v>
      </c>
      <c r="E102" s="28" t="s">
        <v>177</v>
      </c>
      <c r="F102" s="16" t="s">
        <v>274</v>
      </c>
      <c r="G102" s="28" t="s">
        <v>118</v>
      </c>
      <c r="H102" s="16" t="s">
        <v>119</v>
      </c>
      <c r="I102" s="13"/>
    </row>
    <row r="103" spans="1:9" x14ac:dyDescent="0.2">
      <c r="A103" s="28" t="s">
        <v>282</v>
      </c>
      <c r="B103" s="29">
        <v>20</v>
      </c>
      <c r="C103" s="20">
        <v>0</v>
      </c>
      <c r="D103" s="30">
        <v>0</v>
      </c>
      <c r="E103" s="28" t="s">
        <v>177</v>
      </c>
      <c r="F103" s="16" t="s">
        <v>274</v>
      </c>
      <c r="G103" s="28" t="s">
        <v>118</v>
      </c>
      <c r="H103" s="16" t="s">
        <v>119</v>
      </c>
      <c r="I103" s="13"/>
    </row>
    <row r="104" spans="1:9" x14ac:dyDescent="0.2">
      <c r="A104" s="28" t="s">
        <v>283</v>
      </c>
      <c r="B104" s="29">
        <v>20</v>
      </c>
      <c r="C104" s="20">
        <v>0</v>
      </c>
      <c r="D104" s="30">
        <v>1.63</v>
      </c>
      <c r="E104" s="28" t="s">
        <v>177</v>
      </c>
      <c r="F104" s="16" t="s">
        <v>274</v>
      </c>
      <c r="G104" s="28" t="s">
        <v>118</v>
      </c>
      <c r="H104" s="16" t="s">
        <v>119</v>
      </c>
      <c r="I104" s="13"/>
    </row>
    <row r="105" spans="1:9" x14ac:dyDescent="0.2">
      <c r="A105" s="28" t="s">
        <v>284</v>
      </c>
      <c r="B105" s="29">
        <v>20</v>
      </c>
      <c r="C105" s="20">
        <v>0</v>
      </c>
      <c r="D105" s="30">
        <v>0</v>
      </c>
      <c r="E105" s="28" t="s">
        <v>177</v>
      </c>
      <c r="F105" s="16" t="s">
        <v>274</v>
      </c>
      <c r="G105" s="28" t="s">
        <v>118</v>
      </c>
      <c r="H105" s="16" t="s">
        <v>119</v>
      </c>
      <c r="I105" s="13"/>
    </row>
    <row r="107" spans="1:9" x14ac:dyDescent="0.2">
      <c r="A107" s="26" t="s">
        <v>285</v>
      </c>
      <c r="B107" s="27" t="s">
        <v>286</v>
      </c>
      <c r="C107" s="27"/>
      <c r="D107" s="27" t="s">
        <v>287</v>
      </c>
      <c r="E107" s="27"/>
      <c r="F107" s="27" t="s">
        <v>264</v>
      </c>
      <c r="G107" s="27"/>
      <c r="H107" s="27"/>
      <c r="I107" s="27"/>
    </row>
    <row r="108" spans="1:9" ht="28" x14ac:dyDescent="0.2">
      <c r="A108" s="28" t="s">
        <v>288</v>
      </c>
      <c r="B108" s="29">
        <v>140</v>
      </c>
      <c r="C108" s="20">
        <v>21</v>
      </c>
      <c r="D108" s="30">
        <v>2.56</v>
      </c>
      <c r="E108" s="28" t="s">
        <v>116</v>
      </c>
      <c r="F108" s="16" t="s">
        <v>205</v>
      </c>
      <c r="G108" s="28" t="s">
        <v>118</v>
      </c>
      <c r="H108" s="16" t="s">
        <v>289</v>
      </c>
      <c r="I108" s="13" t="s">
        <v>280</v>
      </c>
    </row>
    <row r="109" spans="1:9" ht="28" x14ac:dyDescent="0.2">
      <c r="A109" s="28" t="s">
        <v>290</v>
      </c>
      <c r="B109" s="29">
        <v>50</v>
      </c>
      <c r="C109" s="20">
        <v>0</v>
      </c>
      <c r="D109" s="30">
        <v>1.68</v>
      </c>
      <c r="E109" s="28" t="s">
        <v>177</v>
      </c>
      <c r="F109" s="16" t="s">
        <v>205</v>
      </c>
      <c r="G109" s="28" t="s">
        <v>118</v>
      </c>
      <c r="H109" s="16" t="s">
        <v>289</v>
      </c>
      <c r="I109" s="13" t="s">
        <v>291</v>
      </c>
    </row>
    <row r="110" spans="1:9" x14ac:dyDescent="0.2">
      <c r="A110" s="28" t="s">
        <v>292</v>
      </c>
      <c r="B110" s="29">
        <v>30</v>
      </c>
      <c r="C110" s="20">
        <v>0</v>
      </c>
      <c r="D110" s="30">
        <v>0</v>
      </c>
      <c r="E110" s="28" t="s">
        <v>177</v>
      </c>
      <c r="F110" s="16" t="s">
        <v>205</v>
      </c>
      <c r="G110" s="28" t="s">
        <v>118</v>
      </c>
      <c r="H110" s="16" t="s">
        <v>205</v>
      </c>
      <c r="I110" s="13" t="s">
        <v>293</v>
      </c>
    </row>
    <row r="111" spans="1:9" ht="28" x14ac:dyDescent="0.2">
      <c r="A111" s="28" t="s">
        <v>294</v>
      </c>
      <c r="B111" s="29">
        <v>20</v>
      </c>
      <c r="C111" s="20">
        <v>0</v>
      </c>
      <c r="D111" s="30">
        <v>3.14</v>
      </c>
      <c r="E111" s="28" t="s">
        <v>177</v>
      </c>
      <c r="F111" s="16" t="s">
        <v>205</v>
      </c>
      <c r="G111" s="28" t="s">
        <v>118</v>
      </c>
      <c r="H111" s="16" t="s">
        <v>276</v>
      </c>
      <c r="I111" s="13" t="s">
        <v>295</v>
      </c>
    </row>
    <row r="112" spans="1:9" ht="28" x14ac:dyDescent="0.2">
      <c r="A112" s="28" t="s">
        <v>296</v>
      </c>
      <c r="B112" s="29">
        <v>20</v>
      </c>
      <c r="C112" s="20">
        <v>0</v>
      </c>
      <c r="D112" s="30">
        <v>0</v>
      </c>
      <c r="E112" s="28" t="s">
        <v>177</v>
      </c>
      <c r="F112" s="16" t="s">
        <v>205</v>
      </c>
      <c r="G112" s="28" t="s">
        <v>118</v>
      </c>
      <c r="H112" s="16" t="s">
        <v>276</v>
      </c>
      <c r="I112" s="13" t="s">
        <v>297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4" customWidth="1"/>
    <col min="2" max="2" width="56" customWidth="1"/>
    <col min="3" max="3" width="10" customWidth="1"/>
    <col min="4" max="4" width="56" customWidth="1"/>
    <col min="5" max="5" width="13" customWidth="1"/>
  </cols>
  <sheetData>
    <row r="1" spans="1:5" ht="18" x14ac:dyDescent="0.2">
      <c r="A1" s="12" t="s">
        <v>298</v>
      </c>
    </row>
    <row r="2" spans="1:5" x14ac:dyDescent="0.2">
      <c r="A2" s="1" t="s">
        <v>299</v>
      </c>
    </row>
    <row r="4" spans="1:5" x14ac:dyDescent="0.2">
      <c r="A4" s="5" t="s">
        <v>300</v>
      </c>
      <c r="B4" s="5" t="s">
        <v>301</v>
      </c>
      <c r="C4" s="5" t="s">
        <v>302</v>
      </c>
      <c r="D4" s="5" t="s">
        <v>303</v>
      </c>
      <c r="E4" s="5" t="s">
        <v>34</v>
      </c>
    </row>
    <row r="5" spans="1:5" ht="55.5" customHeight="1" x14ac:dyDescent="0.2">
      <c r="A5" s="15" t="s">
        <v>117</v>
      </c>
      <c r="B5" s="16" t="s">
        <v>304</v>
      </c>
      <c r="C5" s="29">
        <v>5870</v>
      </c>
      <c r="D5" s="16" t="s">
        <v>305</v>
      </c>
      <c r="E5" s="17" t="s">
        <v>39</v>
      </c>
    </row>
    <row r="6" spans="1:5" ht="55.5" customHeight="1" x14ac:dyDescent="0.2">
      <c r="A6" s="15" t="s">
        <v>186</v>
      </c>
      <c r="B6" s="16" t="s">
        <v>306</v>
      </c>
      <c r="C6" s="29">
        <v>2650</v>
      </c>
      <c r="D6" s="16" t="s">
        <v>305</v>
      </c>
      <c r="E6" s="17" t="s">
        <v>39</v>
      </c>
    </row>
    <row r="7" spans="1:5" ht="55.5" customHeight="1" x14ac:dyDescent="0.2">
      <c r="A7" s="15" t="s">
        <v>216</v>
      </c>
      <c r="B7" s="16" t="s">
        <v>307</v>
      </c>
      <c r="C7" s="29">
        <v>2130</v>
      </c>
      <c r="D7" s="16" t="s">
        <v>305</v>
      </c>
      <c r="E7" s="17" t="s">
        <v>39</v>
      </c>
    </row>
    <row r="8" spans="1:5" ht="55.5" customHeight="1" x14ac:dyDescent="0.2">
      <c r="A8" s="15" t="s">
        <v>235</v>
      </c>
      <c r="B8" s="16" t="s">
        <v>308</v>
      </c>
      <c r="C8" s="29">
        <v>2120</v>
      </c>
      <c r="D8" s="16" t="s">
        <v>305</v>
      </c>
      <c r="E8" s="17" t="s">
        <v>39</v>
      </c>
    </row>
    <row r="9" spans="1:5" ht="55.5" customHeight="1" x14ac:dyDescent="0.2">
      <c r="A9" s="15" t="s">
        <v>154</v>
      </c>
      <c r="B9" s="16" t="s">
        <v>309</v>
      </c>
      <c r="C9" s="29">
        <v>2040</v>
      </c>
      <c r="D9" s="16" t="s">
        <v>305</v>
      </c>
      <c r="E9" s="17" t="s">
        <v>39</v>
      </c>
    </row>
    <row r="10" spans="1:5" ht="55.5" customHeight="1" x14ac:dyDescent="0.2">
      <c r="A10" s="15" t="s">
        <v>72</v>
      </c>
      <c r="B10" s="16" t="s">
        <v>310</v>
      </c>
      <c r="C10" s="29">
        <v>1730</v>
      </c>
      <c r="D10" s="16" t="s">
        <v>311</v>
      </c>
      <c r="E10" s="17" t="s">
        <v>39</v>
      </c>
    </row>
    <row r="11" spans="1:5" ht="55.5" customHeight="1" x14ac:dyDescent="0.2">
      <c r="A11" s="15" t="s">
        <v>251</v>
      </c>
      <c r="B11" s="16" t="s">
        <v>312</v>
      </c>
      <c r="C11" s="29">
        <v>830</v>
      </c>
      <c r="D11" s="16" t="s">
        <v>305</v>
      </c>
      <c r="E11" s="17" t="s">
        <v>39</v>
      </c>
    </row>
    <row r="12" spans="1:5" ht="55.5" customHeight="1" x14ac:dyDescent="0.2">
      <c r="A12" s="15" t="s">
        <v>147</v>
      </c>
      <c r="B12" s="16" t="s">
        <v>313</v>
      </c>
      <c r="C12" s="29">
        <v>730</v>
      </c>
      <c r="D12" s="16" t="s">
        <v>314</v>
      </c>
      <c r="E12" s="17" t="s">
        <v>39</v>
      </c>
    </row>
    <row r="13" spans="1:5" ht="55.5" customHeight="1" x14ac:dyDescent="0.2">
      <c r="A13" s="15" t="s">
        <v>127</v>
      </c>
      <c r="B13" s="16" t="s">
        <v>315</v>
      </c>
      <c r="C13" s="29">
        <v>600</v>
      </c>
      <c r="D13" s="16" t="s">
        <v>311</v>
      </c>
      <c r="E13" s="17" t="s">
        <v>39</v>
      </c>
    </row>
    <row r="14" spans="1:5" ht="55.5" customHeight="1" x14ac:dyDescent="0.2">
      <c r="A14" s="15" t="s">
        <v>205</v>
      </c>
      <c r="B14" s="16" t="s">
        <v>316</v>
      </c>
      <c r="C14" s="29">
        <v>580</v>
      </c>
      <c r="D14" s="16" t="s">
        <v>305</v>
      </c>
      <c r="E14" s="17" t="s">
        <v>39</v>
      </c>
    </row>
    <row r="15" spans="1:5" ht="55.5" customHeight="1" x14ac:dyDescent="0.2">
      <c r="A15" s="15" t="s">
        <v>239</v>
      </c>
      <c r="B15" s="16" t="s">
        <v>317</v>
      </c>
      <c r="C15" s="29">
        <v>580</v>
      </c>
      <c r="D15" s="16" t="s">
        <v>311</v>
      </c>
      <c r="E15" s="17" t="s">
        <v>39</v>
      </c>
    </row>
    <row r="16" spans="1:5" ht="55.5" customHeight="1" x14ac:dyDescent="0.2">
      <c r="A16" s="15" t="s">
        <v>274</v>
      </c>
      <c r="B16" s="16" t="s">
        <v>318</v>
      </c>
      <c r="C16" s="29">
        <v>490</v>
      </c>
      <c r="D16" s="16" t="s">
        <v>305</v>
      </c>
      <c r="E16" s="17" t="s">
        <v>39</v>
      </c>
    </row>
    <row r="17" spans="1:5" ht="55.5" customHeight="1" x14ac:dyDescent="0.2">
      <c r="A17" s="15" t="s">
        <v>218</v>
      </c>
      <c r="B17" s="16" t="s">
        <v>319</v>
      </c>
      <c r="C17" s="29">
        <v>480</v>
      </c>
      <c r="D17" s="16" t="s">
        <v>305</v>
      </c>
      <c r="E17" s="17" t="s">
        <v>39</v>
      </c>
    </row>
    <row r="18" spans="1:5" ht="55.5" customHeight="1" x14ac:dyDescent="0.2">
      <c r="A18" s="15" t="s">
        <v>220</v>
      </c>
      <c r="B18" s="16" t="s">
        <v>320</v>
      </c>
      <c r="C18" s="29">
        <v>480</v>
      </c>
      <c r="D18" s="16" t="s">
        <v>305</v>
      </c>
      <c r="E18" s="17" t="s">
        <v>39</v>
      </c>
    </row>
    <row r="19" spans="1:5" ht="55.5" customHeight="1" x14ac:dyDescent="0.2">
      <c r="A19" s="15" t="s">
        <v>188</v>
      </c>
      <c r="B19" s="16" t="s">
        <v>321</v>
      </c>
      <c r="C19" s="29">
        <v>460</v>
      </c>
      <c r="D19" s="16" t="s">
        <v>305</v>
      </c>
      <c r="E19" s="17" t="s">
        <v>39</v>
      </c>
    </row>
    <row r="20" spans="1:5" ht="55.5" customHeight="1" x14ac:dyDescent="0.2">
      <c r="A20" s="15" t="s">
        <v>253</v>
      </c>
      <c r="B20" s="16" t="s">
        <v>322</v>
      </c>
      <c r="C20" s="29">
        <v>220</v>
      </c>
      <c r="D20" s="16" t="s">
        <v>305</v>
      </c>
      <c r="E20" s="17" t="s">
        <v>39</v>
      </c>
    </row>
    <row r="21" spans="1:5" ht="55.5" customHeight="1" x14ac:dyDescent="0.2">
      <c r="A21" s="15" t="s">
        <v>224</v>
      </c>
      <c r="B21" s="16" t="s">
        <v>323</v>
      </c>
      <c r="C21" s="29">
        <v>170</v>
      </c>
      <c r="D21" s="16" t="s">
        <v>305</v>
      </c>
      <c r="E21" s="17" t="s">
        <v>39</v>
      </c>
    </row>
    <row r="22" spans="1:5" ht="55.5" customHeight="1" x14ac:dyDescent="0.2">
      <c r="A22" s="15" t="s">
        <v>227</v>
      </c>
      <c r="B22" s="16" t="s">
        <v>324</v>
      </c>
      <c r="C22" s="29">
        <v>110</v>
      </c>
      <c r="D22" s="16" t="s">
        <v>325</v>
      </c>
      <c r="E22" s="17" t="s">
        <v>39</v>
      </c>
    </row>
    <row r="23" spans="1:5" ht="55.5" customHeight="1" x14ac:dyDescent="0.2">
      <c r="A23" s="15" t="s">
        <v>203</v>
      </c>
      <c r="B23" s="16" t="s">
        <v>326</v>
      </c>
      <c r="C23" s="29">
        <v>110</v>
      </c>
      <c r="D23" s="16" t="s">
        <v>305</v>
      </c>
      <c r="E23" s="17" t="s">
        <v>39</v>
      </c>
    </row>
  </sheetData>
  <dataValidations count="1">
    <dataValidation type="list" allowBlank="1" sqref="E5:E23" xr:uid="{00000000-0002-0000-0300-000000000000}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topLeftCell="B1" zoomScaleNormal="100" workbookViewId="0"/>
  </sheetViews>
  <sheetFormatPr baseColWidth="10" defaultColWidth="8.6640625" defaultRowHeight="15" x14ac:dyDescent="0.2"/>
  <cols>
    <col min="1" max="1" width="7" customWidth="1"/>
    <col min="2" max="2" width="42" customWidth="1"/>
    <col min="3" max="3" width="44" customWidth="1"/>
    <col min="4" max="4" width="50" customWidth="1"/>
    <col min="5" max="5" width="9" customWidth="1"/>
    <col min="6" max="6" width="7" customWidth="1"/>
    <col min="7" max="7" width="54" customWidth="1"/>
    <col min="8" max="8" width="13" customWidth="1"/>
  </cols>
  <sheetData>
    <row r="1" spans="1:8" ht="18" x14ac:dyDescent="0.2">
      <c r="A1" s="12" t="s">
        <v>327</v>
      </c>
    </row>
    <row r="3" spans="1:8" x14ac:dyDescent="0.2">
      <c r="A3" s="5" t="s">
        <v>328</v>
      </c>
      <c r="B3" s="5" t="s">
        <v>329</v>
      </c>
      <c r="C3" s="5" t="s">
        <v>330</v>
      </c>
      <c r="D3" s="5" t="s">
        <v>331</v>
      </c>
      <c r="E3" s="5" t="s">
        <v>332</v>
      </c>
      <c r="F3" s="5" t="s">
        <v>104</v>
      </c>
      <c r="G3" s="5" t="s">
        <v>333</v>
      </c>
      <c r="H3" s="5" t="s">
        <v>34</v>
      </c>
    </row>
    <row r="4" spans="1:8" ht="78" customHeight="1" x14ac:dyDescent="0.2">
      <c r="A4" s="13">
        <v>1</v>
      </c>
      <c r="B4" s="16" t="s">
        <v>334</v>
      </c>
      <c r="C4" s="16" t="s">
        <v>335</v>
      </c>
      <c r="D4" s="16" t="s">
        <v>336</v>
      </c>
      <c r="E4" s="29">
        <v>1140</v>
      </c>
      <c r="F4" s="13">
        <v>12</v>
      </c>
      <c r="G4" s="16" t="s">
        <v>337</v>
      </c>
      <c r="H4" s="17" t="s">
        <v>39</v>
      </c>
    </row>
    <row r="5" spans="1:8" ht="78" customHeight="1" x14ac:dyDescent="0.2">
      <c r="A5" s="13">
        <v>2</v>
      </c>
      <c r="B5" s="16" t="s">
        <v>338</v>
      </c>
      <c r="C5" s="16" t="s">
        <v>339</v>
      </c>
      <c r="D5" s="16" t="s">
        <v>340</v>
      </c>
      <c r="E5" s="29">
        <v>690</v>
      </c>
      <c r="F5" s="13">
        <v>8</v>
      </c>
      <c r="G5" s="16" t="s">
        <v>341</v>
      </c>
      <c r="H5" s="17" t="s">
        <v>39</v>
      </c>
    </row>
    <row r="6" spans="1:8" ht="78" customHeight="1" x14ac:dyDescent="0.2">
      <c r="A6" s="13">
        <v>3</v>
      </c>
      <c r="B6" s="16" t="s">
        <v>342</v>
      </c>
      <c r="C6" s="16" t="s">
        <v>343</v>
      </c>
      <c r="D6" s="16" t="s">
        <v>344</v>
      </c>
      <c r="E6" s="29">
        <v>1270</v>
      </c>
      <c r="F6" s="13">
        <v>22</v>
      </c>
      <c r="G6" s="16" t="s">
        <v>345</v>
      </c>
      <c r="H6" s="17" t="s">
        <v>39</v>
      </c>
    </row>
    <row r="7" spans="1:8" ht="78" customHeight="1" x14ac:dyDescent="0.2">
      <c r="A7" s="13">
        <v>4</v>
      </c>
      <c r="B7" s="16" t="s">
        <v>346</v>
      </c>
      <c r="C7" s="16" t="s">
        <v>347</v>
      </c>
      <c r="D7" s="16" t="s">
        <v>348</v>
      </c>
      <c r="E7" s="29">
        <v>650</v>
      </c>
      <c r="F7" s="13">
        <v>24</v>
      </c>
      <c r="G7" s="16" t="s">
        <v>349</v>
      </c>
      <c r="H7" s="17" t="s">
        <v>39</v>
      </c>
    </row>
    <row r="8" spans="1:8" ht="78" customHeight="1" x14ac:dyDescent="0.2">
      <c r="A8" s="13">
        <v>5</v>
      </c>
      <c r="B8" s="16" t="s">
        <v>350</v>
      </c>
      <c r="C8" s="16" t="s">
        <v>351</v>
      </c>
      <c r="D8" s="16" t="s">
        <v>352</v>
      </c>
      <c r="E8" s="29">
        <v>1000</v>
      </c>
      <c r="F8" s="13">
        <v>19</v>
      </c>
      <c r="G8" s="16" t="s">
        <v>353</v>
      </c>
      <c r="H8" s="17" t="s">
        <v>39</v>
      </c>
    </row>
    <row r="9" spans="1:8" ht="78" customHeight="1" x14ac:dyDescent="0.2">
      <c r="A9" s="13">
        <v>6</v>
      </c>
      <c r="B9" s="16" t="s">
        <v>354</v>
      </c>
      <c r="C9" s="16" t="s">
        <v>355</v>
      </c>
      <c r="D9" s="16" t="s">
        <v>356</v>
      </c>
      <c r="E9" s="29">
        <v>170</v>
      </c>
      <c r="F9" s="13">
        <v>32</v>
      </c>
      <c r="G9" s="16" t="s">
        <v>357</v>
      </c>
      <c r="H9" s="17" t="s">
        <v>39</v>
      </c>
    </row>
    <row r="10" spans="1:8" ht="78" customHeight="1" x14ac:dyDescent="0.2">
      <c r="A10" s="13">
        <v>7</v>
      </c>
      <c r="B10" s="16" t="s">
        <v>358</v>
      </c>
      <c r="C10" s="16" t="s">
        <v>359</v>
      </c>
      <c r="D10" s="16" t="s">
        <v>360</v>
      </c>
      <c r="E10" s="29">
        <v>140</v>
      </c>
      <c r="F10" s="13">
        <v>33</v>
      </c>
      <c r="G10" s="16" t="s">
        <v>361</v>
      </c>
      <c r="H10" s="17" t="s">
        <v>39</v>
      </c>
    </row>
    <row r="11" spans="1:8" ht="78" customHeight="1" x14ac:dyDescent="0.2">
      <c r="A11" s="13">
        <v>8</v>
      </c>
      <c r="B11" s="16" t="s">
        <v>362</v>
      </c>
      <c r="C11" s="16" t="s">
        <v>363</v>
      </c>
      <c r="D11" s="16" t="s">
        <v>364</v>
      </c>
      <c r="E11" s="29">
        <v>250</v>
      </c>
      <c r="F11" s="13">
        <v>17</v>
      </c>
      <c r="G11" s="40" t="s">
        <v>365</v>
      </c>
      <c r="H11" s="17" t="s">
        <v>39</v>
      </c>
    </row>
  </sheetData>
  <dataValidations count="1">
    <dataValidation type="list" allowBlank="1" sqref="H4:H11" xr:uid="{00000000-0002-0000-0400-000000000000}">
      <formula1>"Not started,Briefed,Drafted,Published"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zoomScaleNormal="100" workbookViewId="0"/>
  </sheetViews>
  <sheetFormatPr baseColWidth="10" defaultColWidth="8.6640625" defaultRowHeight="15" x14ac:dyDescent="0.2"/>
  <cols>
    <col min="1" max="1" width="40" customWidth="1"/>
    <col min="2" max="2" width="10" customWidth="1"/>
    <col min="3" max="3" width="7" customWidth="1"/>
    <col min="4" max="4" width="82" customWidth="1"/>
  </cols>
  <sheetData>
    <row r="1" spans="1:4" ht="18" x14ac:dyDescent="0.2">
      <c r="A1" s="12" t="s">
        <v>366</v>
      </c>
    </row>
    <row r="2" spans="1:4" x14ac:dyDescent="0.2">
      <c r="A2" s="1" t="s">
        <v>367</v>
      </c>
    </row>
    <row r="4" spans="1:4" x14ac:dyDescent="0.2">
      <c r="A4" s="5" t="s">
        <v>102</v>
      </c>
      <c r="B4" s="5" t="s">
        <v>103</v>
      </c>
      <c r="C4" s="5" t="s">
        <v>104</v>
      </c>
      <c r="D4" s="5" t="s">
        <v>368</v>
      </c>
    </row>
    <row r="5" spans="1:4" x14ac:dyDescent="0.2">
      <c r="A5" s="28" t="s">
        <v>190</v>
      </c>
      <c r="B5" s="29">
        <v>320</v>
      </c>
      <c r="C5" s="13">
        <v>45</v>
      </c>
      <c r="D5" s="16" t="s">
        <v>369</v>
      </c>
    </row>
    <row r="6" spans="1:4" ht="28" x14ac:dyDescent="0.2">
      <c r="A6" s="28" t="s">
        <v>265</v>
      </c>
      <c r="B6" s="29">
        <v>320</v>
      </c>
      <c r="C6" s="13">
        <v>12</v>
      </c>
      <c r="D6" s="16" t="s">
        <v>370</v>
      </c>
    </row>
    <row r="7" spans="1:4" x14ac:dyDescent="0.2">
      <c r="A7" s="28" t="s">
        <v>191</v>
      </c>
      <c r="B7" s="29">
        <v>170</v>
      </c>
      <c r="C7" s="13">
        <v>18</v>
      </c>
      <c r="D7" s="16" t="s">
        <v>371</v>
      </c>
    </row>
    <row r="8" spans="1:4" x14ac:dyDescent="0.2">
      <c r="A8" s="28" t="s">
        <v>199</v>
      </c>
      <c r="B8" s="29">
        <v>140</v>
      </c>
      <c r="C8" s="13">
        <v>41</v>
      </c>
      <c r="D8" s="16" t="s">
        <v>372</v>
      </c>
    </row>
    <row r="9" spans="1:4" x14ac:dyDescent="0.2">
      <c r="A9" s="28" t="s">
        <v>266</v>
      </c>
      <c r="B9" s="29">
        <v>140</v>
      </c>
      <c r="C9" s="13">
        <v>19</v>
      </c>
      <c r="D9" s="16" t="s">
        <v>373</v>
      </c>
    </row>
    <row r="10" spans="1:4" x14ac:dyDescent="0.2">
      <c r="A10" s="28" t="s">
        <v>267</v>
      </c>
      <c r="B10" s="29">
        <v>140</v>
      </c>
      <c r="C10" s="13">
        <v>45</v>
      </c>
      <c r="D10" s="16" t="s">
        <v>374</v>
      </c>
    </row>
    <row r="11" spans="1:4" x14ac:dyDescent="0.2">
      <c r="A11" s="28" t="s">
        <v>268</v>
      </c>
      <c r="B11" s="29">
        <v>110</v>
      </c>
      <c r="C11" s="13">
        <v>9</v>
      </c>
      <c r="D11" s="16" t="s">
        <v>375</v>
      </c>
    </row>
    <row r="12" spans="1:4" x14ac:dyDescent="0.2">
      <c r="A12" s="28" t="s">
        <v>201</v>
      </c>
      <c r="B12" s="29">
        <v>110</v>
      </c>
      <c r="C12" s="13">
        <v>22</v>
      </c>
      <c r="D12" s="16" t="s">
        <v>376</v>
      </c>
    </row>
    <row r="13" spans="1:4" x14ac:dyDescent="0.2">
      <c r="A13" s="28" t="s">
        <v>211</v>
      </c>
      <c r="B13" s="29">
        <v>110</v>
      </c>
      <c r="C13" s="13">
        <v>19</v>
      </c>
      <c r="D13" s="16" t="s">
        <v>376</v>
      </c>
    </row>
    <row r="14" spans="1:4" x14ac:dyDescent="0.2">
      <c r="A14" s="28" t="s">
        <v>206</v>
      </c>
      <c r="B14" s="29">
        <v>110</v>
      </c>
      <c r="C14" s="13">
        <v>30</v>
      </c>
      <c r="D14" s="16" t="s">
        <v>376</v>
      </c>
    </row>
    <row r="15" spans="1:4" x14ac:dyDescent="0.2">
      <c r="A15" s="28" t="s">
        <v>209</v>
      </c>
      <c r="B15" s="29">
        <v>110</v>
      </c>
      <c r="C15" s="13">
        <v>18</v>
      </c>
      <c r="D15" s="16" t="s">
        <v>376</v>
      </c>
    </row>
    <row r="17" spans="1:4" ht="43.5" customHeight="1" x14ac:dyDescent="0.2">
      <c r="A17" s="22" t="s">
        <v>377</v>
      </c>
      <c r="D17" s="41" t="s">
        <v>378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START HERE</vt:lpstr>
      <vt:lpstr>2. Task List</vt:lpstr>
      <vt:lpstr>3. Clusters by Seed</vt:lpstr>
      <vt:lpstr>4. Page Checklist</vt:lpstr>
      <vt:lpstr>5. New Pages</vt:lpstr>
      <vt:lpstr>6. Do Not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Anil Gorraladaku</cp:lastModifiedBy>
  <cp:revision>0</cp:revision>
  <dcterms:created xsi:type="dcterms:W3CDTF">2026-09-18T14:31:54Z</dcterms:created>
  <dcterms:modified xsi:type="dcterms:W3CDTF">2026-09-30T09:09:22Z</dcterms:modified>
  <dc:language>en-US</dc:language>
</cp:coreProperties>
</file>